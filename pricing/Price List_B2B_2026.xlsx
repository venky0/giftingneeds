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allol/Desktop/Kallol/Price List and Catalogue/"/>
    </mc:Choice>
  </mc:AlternateContent>
  <xr:revisionPtr revIDLastSave="0" documentId="13_ncr:1_{FD7A53A8-902F-3B47-8958-B36B5B3EF550}" xr6:coauthVersionLast="47" xr6:coauthVersionMax="47" xr10:uidLastSave="{00000000-0000-0000-0000-000000000000}"/>
  <bookViews>
    <workbookView xWindow="0" yWindow="500" windowWidth="25600" windowHeight="14180" xr2:uid="{A45CA433-A642-4FC6-AC50-FF371982C2EA}"/>
  </bookViews>
  <sheets>
    <sheet name="GoBoult Price Sheet" sheetId="1" r:id="rId1"/>
    <sheet name="Sheet2" sheetId="2" r:id="rId2"/>
  </sheets>
  <definedNames>
    <definedName name="_xlnm._FilterDatabase" localSheetId="0" hidden="1">'GoBoult Price Sheet'!$C$7:$J$65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I17" i="1" s="1"/>
  <c r="H59" i="1" l="1"/>
  <c r="I59" i="1" s="1"/>
  <c r="H58" i="1" l="1"/>
  <c r="I58" i="1" s="1"/>
  <c r="H57" i="1" l="1"/>
  <c r="I57" i="1" s="1"/>
  <c r="H43" i="1"/>
  <c r="I43" i="1" s="1"/>
  <c r="H27" i="1"/>
  <c r="I27" i="1" s="1"/>
  <c r="H56" i="1"/>
  <c r="I56" i="1" s="1"/>
  <c r="H55" i="1"/>
  <c r="I55" i="1" s="1"/>
  <c r="H54" i="1"/>
  <c r="I54" i="1" s="1"/>
  <c r="H53" i="1"/>
  <c r="I53" i="1" s="1"/>
  <c r="H42" i="1"/>
  <c r="I42" i="1" s="1"/>
  <c r="H19" i="1"/>
  <c r="I19" i="1" s="1"/>
  <c r="H18" i="1"/>
  <c r="I18" i="1" s="1"/>
  <c r="H41" i="1" l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14" i="1"/>
  <c r="I14" i="1" s="1"/>
  <c r="H16" i="1"/>
  <c r="I16" i="1" s="1"/>
  <c r="H13" i="1"/>
  <c r="I13" i="1" s="1"/>
  <c r="H47" i="1" l="1"/>
  <c r="I47" i="1" s="1"/>
  <c r="H52" i="1" l="1"/>
  <c r="I52" i="1" s="1"/>
  <c r="H51" i="1"/>
  <c r="I51" i="1" s="1"/>
  <c r="H50" i="1"/>
  <c r="I50" i="1" s="1"/>
  <c r="H49" i="1"/>
  <c r="I49" i="1" s="1"/>
  <c r="H48" i="1"/>
  <c r="I48" i="1" s="1"/>
  <c r="H46" i="1"/>
  <c r="I46" i="1" s="1"/>
  <c r="H45" i="1"/>
  <c r="I45" i="1" s="1"/>
  <c r="H44" i="1"/>
  <c r="I44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5" i="1"/>
  <c r="I15" i="1" s="1"/>
  <c r="H12" i="1"/>
  <c r="I12" i="1" s="1"/>
  <c r="H11" i="1"/>
  <c r="I11" i="1" s="1"/>
  <c r="H10" i="1"/>
  <c r="I10" i="1" s="1"/>
  <c r="H9" i="1"/>
  <c r="I9" i="1" s="1"/>
  <c r="H8" i="1"/>
  <c r="I8" i="1" s="1"/>
</calcChain>
</file>

<file path=xl/sharedStrings.xml><?xml version="1.0" encoding="utf-8"?>
<sst xmlns="http://schemas.openxmlformats.org/spreadsheetml/2006/main" count="221" uniqueCount="149">
  <si>
    <t>W20</t>
  </si>
  <si>
    <t>W40</t>
  </si>
  <si>
    <t>Z40 Pro</t>
  </si>
  <si>
    <t>Mustang Torq</t>
  </si>
  <si>
    <t>Y1</t>
  </si>
  <si>
    <t>Y1 Pro</t>
  </si>
  <si>
    <t>Astra</t>
  </si>
  <si>
    <t>Model Name</t>
  </si>
  <si>
    <t>MRP</t>
  </si>
  <si>
    <t>Category</t>
  </si>
  <si>
    <t>Earbuds</t>
  </si>
  <si>
    <t>EQCharge</t>
  </si>
  <si>
    <t>Fcharge</t>
  </si>
  <si>
    <t>GX Charge</t>
  </si>
  <si>
    <t>Neckband</t>
  </si>
  <si>
    <t>Powerbank</t>
  </si>
  <si>
    <t>Trail silicon</t>
  </si>
  <si>
    <t>Crown silicon</t>
  </si>
  <si>
    <t>Thrux</t>
  </si>
  <si>
    <t>Crown R Pro Silicon</t>
  </si>
  <si>
    <t>Drift+ silicon</t>
  </si>
  <si>
    <t>Drift+ Metal</t>
  </si>
  <si>
    <t>Drift Silicon</t>
  </si>
  <si>
    <t>Smartwatch</t>
  </si>
  <si>
    <t>Crown Metal</t>
  </si>
  <si>
    <t>Crown R Pro Metal</t>
  </si>
  <si>
    <t>Q</t>
  </si>
  <si>
    <t>Mustang Q</t>
  </si>
  <si>
    <t>Fluid X</t>
  </si>
  <si>
    <t>Fluid X Pro</t>
  </si>
  <si>
    <t>Anchor</t>
  </si>
  <si>
    <t>Flex</t>
  </si>
  <si>
    <t>Sonic</t>
  </si>
  <si>
    <t>Headphone</t>
  </si>
  <si>
    <t>BT Speaker</t>
  </si>
  <si>
    <t>DP Incl GST</t>
  </si>
  <si>
    <t>w/o GST</t>
  </si>
  <si>
    <t>GST-18%</t>
  </si>
  <si>
    <t xml:space="preserve">10000 mAh 22.5 W Power Bank </t>
  </si>
  <si>
    <t xml:space="preserve">20000 mAh 22.5 W Power Bank </t>
  </si>
  <si>
    <t>ENC Mic,40H Battery Life,Low Latency Gaming, 5.3v Bluetooth</t>
  </si>
  <si>
    <t>Zen ENC Mic, 50H Battery, Fast Charging, Pro+ Calling Bluetooth</t>
  </si>
  <si>
    <t xml:space="preserve"> 4 Mic ENC, 60Hrs Battery, Fast Charging, 5.3v Bluetooth </t>
  </si>
  <si>
    <t xml:space="preserve">4 Mic ENC, 48Hrs Battery, Low Latency Gaming, 5.3v Bluetooth </t>
  </si>
  <si>
    <t>Quad Mic ENC, 48Hrs Battery, Low Latency Gaming</t>
  </si>
  <si>
    <t xml:space="preserve"> 100H Battery, 4 Mic ENC, Rubber Grip Design,5.3v Bluetooth  </t>
  </si>
  <si>
    <t xml:space="preserve"> 60Hrs Battery, Quad Mic ENC, Breathable LEDs Bluetooth</t>
  </si>
  <si>
    <t xml:space="preserve">ENC Mic, 32Hrs Battery Life, Ultra-Fast Charging Bluetooth </t>
  </si>
  <si>
    <t xml:space="preserve">40Hrs Playtime, ENC, Fast Charging, Fast Pairing Bluetooth </t>
  </si>
  <si>
    <t>40Hrs Playtime, ENC, Fast Charging, Fast Pairing Bluetooth</t>
  </si>
  <si>
    <t>1.85" ,BT Calling, 500Nits Brightness, 150+ Watchfaces</t>
  </si>
  <si>
    <t>1.95'' Screen, Working Crown, Zinc Alloy Frame, 900 Nit</t>
  </si>
  <si>
    <t>1.39''HD Screen, GPS Tracker, Working Crown</t>
  </si>
  <si>
    <t>1.43'' AMOLED, BT Calling, 565 Nits Brightness</t>
  </si>
  <si>
    <t xml:space="preserve">1.43''HD AMOLED, BT Calling, Zinc Alloy Frame Smartwatch </t>
  </si>
  <si>
    <t>1.43''HD AMOLED, BT Calling, Zinc Alloy Frame Smartwatch</t>
  </si>
  <si>
    <t>70Hrs Battery, ENC Mic, 40mm Boosted Drivers, 4 EQ Modes</t>
  </si>
  <si>
    <t xml:space="preserve"> 70Hrs Battery, ENC Mic, 40mm Drivers, 4 EQ Modes</t>
  </si>
  <si>
    <t>60H Battery, 40mm Drivers, Foldable design, ENC Mic</t>
  </si>
  <si>
    <t xml:space="preserve">ANC Calling, 70Hrs Battery Life, Foldable design Bluetooth &amp; Wired  </t>
  </si>
  <si>
    <t>ANC Calling, 72H Battery, Dual Pairing, Foldable Built Bluetooth &amp; Wired</t>
  </si>
  <si>
    <t>80Hrs Battery, ENC Mic, 40mm Drivers, 60ms Low Latency Bluetooth &amp; Wired</t>
  </si>
  <si>
    <t>70H Battery, Dual Pairing, ENC Mic, Foldable Design Bluetooth &amp; Wired</t>
  </si>
  <si>
    <t>1.69" HD Display, 140+ Watchface, BT calling</t>
  </si>
  <si>
    <t xml:space="preserve">Payment Terms: 100% advance </t>
  </si>
  <si>
    <t>EXOTIC MILE PVT. LTD,B-67,Wazirpur Industrial area,DELHI - 110052-GST No : 07AAGCE1548L1ZG-PAN NO : AAGCE1548L</t>
  </si>
  <si>
    <t xml:space="preserve">Delivery point: Single Location </t>
  </si>
  <si>
    <t>Product Link</t>
  </si>
  <si>
    <t>Mustang TorQ</t>
  </si>
  <si>
    <t>EQ Charge</t>
  </si>
  <si>
    <t>FCharge</t>
  </si>
  <si>
    <t>AmpVault V20</t>
  </si>
  <si>
    <t>AmpVault V10</t>
  </si>
  <si>
    <t>Drift+ Silicon</t>
  </si>
  <si>
    <t>Trail Silicon</t>
  </si>
  <si>
    <t>Crown Silicon</t>
  </si>
  <si>
    <t>Rover Pro Silicon</t>
  </si>
  <si>
    <t>FluidX</t>
  </si>
  <si>
    <t>FluidX Pro</t>
  </si>
  <si>
    <t>2.01'' 3D Curved HD Display, BT Calling, Working Crown, 190+Watchfaces</t>
  </si>
  <si>
    <t>Mustang Thunder</t>
  </si>
  <si>
    <t>70H Battery, ENC Mic, 40mm Drivers, LED Lights Bluetooth &amp; Wired</t>
  </si>
  <si>
    <t>Raven</t>
  </si>
  <si>
    <t>Tenet</t>
  </si>
  <si>
    <t>70Hrs Battery Life, 4 Mic ENC, 45ms Low Latency, 5.4v Bluetooth</t>
  </si>
  <si>
    <t xml:space="preserve">70Hrs Battery, App Support, Dual Pairing, Quad Mic ENC, Boosted Bass, 5.4v Bluetooth </t>
  </si>
  <si>
    <t>75Hrs Battery, App Support, Dual Pairing, Quad Mic ENC, Boosted Bass, 5.4v Bluetooth</t>
  </si>
  <si>
    <t>1.9'' HD Display, Working Crown , Quick Access Torch Smartwatch</t>
  </si>
  <si>
    <t>Tuff Rivet</t>
  </si>
  <si>
    <t>Tuff Hawk</t>
  </si>
  <si>
    <t xml:space="preserve">1.39" HD Display, Working Crown , Quick Access Torch Smartwatch </t>
  </si>
  <si>
    <t xml:space="preserve">1.19" AMOLED,Diamond-cut dial, 800 Nits Brightness, Working Crown Smartwatch </t>
  </si>
  <si>
    <t xml:space="preserve">1.43" AMOLED Screen, Rotating Bezel, 700 Nits Brightness Smartwatch </t>
  </si>
  <si>
    <t>Saber</t>
  </si>
  <si>
    <t>Z40 v2.0</t>
  </si>
  <si>
    <t>Alora</t>
  </si>
  <si>
    <t>Product Highlights</t>
  </si>
  <si>
    <t>Stallion</t>
  </si>
  <si>
    <t>Hybrid ANC, 10mm Drivers,50H Playtime, App Support, Spatial Audio,Dual Device Pairing,</t>
  </si>
  <si>
    <t xml:space="preserve">60 hours playtime, 32dB ANC &amp; 45ms Low Latency Gaming </t>
  </si>
  <si>
    <t>2.01'' 3D Curved Display, Convertible Strap, Premium Metallic Crown, 600 Nits Brightness</t>
  </si>
  <si>
    <t>1.43'' AMOLED Display, Rotating Beze,500 Nits Brightness, AI Voice Assistant</t>
  </si>
  <si>
    <t>Mustanf Racer</t>
  </si>
  <si>
    <t>Mustang Muscle</t>
  </si>
  <si>
    <t>5W Output, Up to 8 Hours Playtime &amp; Bluetooth 5.4 Connectivity</t>
  </si>
  <si>
    <t>Rave Q5</t>
  </si>
  <si>
    <t>Rave Q10</t>
  </si>
  <si>
    <t>Groove Q12</t>
  </si>
  <si>
    <t>Groove Q14</t>
  </si>
  <si>
    <t>RGB Lights &amp; Bass Boost 14W Output, Bluetooth 5.4 + EDR &amp; Multi-Mode Playback</t>
  </si>
  <si>
    <t>AmpVault  V20</t>
  </si>
  <si>
    <t>Earl</t>
  </si>
  <si>
    <t>Mustang Sprint</t>
  </si>
  <si>
    <t xml:space="preserve">RGB Lights &amp; Deep Bass 12W, 12 Hours Playtime &amp; Dynamic RGB Lighting </t>
  </si>
  <si>
    <t xml:space="preserve"> RGB Lights &amp; Bass Boost 10W, 12 Hours Playtime,BT 5.4 + EDR &amp; Multi-Mode Playback </t>
  </si>
  <si>
    <t>CORPORATE SALES PRICE LIST</t>
  </si>
  <si>
    <t>Drift Gun Metal</t>
  </si>
  <si>
    <t>SoniQ</t>
  </si>
  <si>
    <r>
      <t>Earl-</t>
    </r>
    <r>
      <rPr>
        <sz val="14"/>
        <color rgb="FFFF0000"/>
        <rFont val="Helvetica"/>
        <family val="2"/>
      </rPr>
      <t>New Launch</t>
    </r>
  </si>
  <si>
    <r>
      <t>Mustang Sprint-</t>
    </r>
    <r>
      <rPr>
        <sz val="14"/>
        <color rgb="FFFF0000"/>
        <rFont val="Helvetica"/>
        <family val="2"/>
      </rPr>
      <t>New Launch</t>
    </r>
  </si>
  <si>
    <r>
      <t>Alora(Women)--</t>
    </r>
    <r>
      <rPr>
        <sz val="14"/>
        <color rgb="FFFF0000"/>
        <rFont val="Helvetica"/>
        <family val="2"/>
      </rPr>
      <t>New Launch</t>
    </r>
  </si>
  <si>
    <r>
      <t>Rave Q5-</t>
    </r>
    <r>
      <rPr>
        <b/>
        <sz val="14"/>
        <color rgb="FFFF0000"/>
        <rFont val="Helvetica"/>
        <family val="2"/>
      </rPr>
      <t>New Launch</t>
    </r>
  </si>
  <si>
    <r>
      <t>Rave Q10-</t>
    </r>
    <r>
      <rPr>
        <b/>
        <sz val="14"/>
        <color rgb="FFFF0000"/>
        <rFont val="Helvetica"/>
        <family val="2"/>
      </rPr>
      <t>New Launch</t>
    </r>
  </si>
  <si>
    <r>
      <t>Groove Q12-</t>
    </r>
    <r>
      <rPr>
        <b/>
        <sz val="14"/>
        <color rgb="FFFF0000"/>
        <rFont val="Helvetica"/>
        <family val="2"/>
      </rPr>
      <t>New Launch</t>
    </r>
  </si>
  <si>
    <r>
      <t>Groove Q14-</t>
    </r>
    <r>
      <rPr>
        <b/>
        <sz val="14"/>
        <color rgb="FFFF0000"/>
        <rFont val="Helvetica"/>
        <family val="2"/>
      </rPr>
      <t>New Launch</t>
    </r>
  </si>
  <si>
    <r>
      <t>Groove Q20-</t>
    </r>
    <r>
      <rPr>
        <b/>
        <sz val="14"/>
        <color rgb="FFFF0000"/>
        <rFont val="Helvetica"/>
        <family val="2"/>
      </rPr>
      <t>New Launch</t>
    </r>
  </si>
  <si>
    <t>Online MOP</t>
  </si>
  <si>
    <t>Rover Pro Coal Black and Regal (Silicon)</t>
  </si>
  <si>
    <t>Rover Pro Ash Black  (Silicon)</t>
  </si>
  <si>
    <r>
      <t>Raven-</t>
    </r>
    <r>
      <rPr>
        <sz val="14"/>
        <color rgb="FFFF0000"/>
        <rFont val="Helvetica"/>
        <family val="2"/>
      </rPr>
      <t>New Launch</t>
    </r>
  </si>
  <si>
    <r>
      <t>Z40V 2.0-</t>
    </r>
    <r>
      <rPr>
        <sz val="14"/>
        <color rgb="FFFF0000"/>
        <rFont val="Helvetica"/>
        <family val="2"/>
      </rPr>
      <t>New Launch</t>
    </r>
  </si>
  <si>
    <r>
      <t>Tenet-</t>
    </r>
    <r>
      <rPr>
        <sz val="14"/>
        <color rgb="FFFF0000"/>
        <rFont val="Helvetica"/>
        <family val="2"/>
      </rPr>
      <t>New Launch</t>
    </r>
  </si>
  <si>
    <r>
      <t>Tuff Rivet</t>
    </r>
    <r>
      <rPr>
        <sz val="14"/>
        <color rgb="FFFF0000"/>
        <rFont val="Helvetica"/>
        <family val="2"/>
      </rPr>
      <t>-New Launch</t>
    </r>
  </si>
  <si>
    <r>
      <t>Tuff Hawk-</t>
    </r>
    <r>
      <rPr>
        <sz val="14"/>
        <color rgb="FFFF0000"/>
        <rFont val="Helvetica"/>
        <family val="2"/>
      </rPr>
      <t>-New Launch</t>
    </r>
  </si>
  <si>
    <r>
      <t>Saber-</t>
    </r>
    <r>
      <rPr>
        <sz val="14"/>
        <color rgb="FFFF0000"/>
        <rFont val="Helvetica"/>
        <family val="2"/>
      </rPr>
      <t>-New Launch</t>
    </r>
  </si>
  <si>
    <r>
      <t>Mustang Stallion-</t>
    </r>
    <r>
      <rPr>
        <b/>
        <sz val="14"/>
        <color rgb="FFFF0000"/>
        <rFont val="Helvetica"/>
        <family val="2"/>
      </rPr>
      <t>New Launch</t>
    </r>
  </si>
  <si>
    <r>
      <t>Mustang Racer-</t>
    </r>
    <r>
      <rPr>
        <b/>
        <sz val="14"/>
        <color rgb="FFFF0000"/>
        <rFont val="Helvetica"/>
        <family val="2"/>
      </rPr>
      <t>New Launch</t>
    </r>
  </si>
  <si>
    <r>
      <t>Mustang Muscle-</t>
    </r>
    <r>
      <rPr>
        <b/>
        <sz val="14"/>
        <color rgb="FFFF0000"/>
        <rFont val="Helvetica"/>
        <family val="2"/>
      </rPr>
      <t>New Launch</t>
    </r>
  </si>
  <si>
    <t xml:space="preserve">20W sound output, Bluetooth 5.4 + EDR, RGB LED lights, TWS mode and multiple connectivity </t>
  </si>
  <si>
    <t>Groove Q20</t>
  </si>
  <si>
    <t>Mustang GT20</t>
  </si>
  <si>
    <t>Mustang GT40</t>
  </si>
  <si>
    <t>Dual Dynamic Drivers, RGB LEDs, Bass Radiator, BTv 6, 7Hr Battery 20 W Bluetooth Speaker</t>
  </si>
  <si>
    <t>GT20</t>
  </si>
  <si>
    <t>Dual Drivers, Bass Radiator, 6Hrs Battery, Metallic Grill, BTv 6, 40 W Bluetooth Speaker</t>
  </si>
  <si>
    <t>GT40</t>
  </si>
  <si>
    <r>
      <t>Z40 pro V 2.0-</t>
    </r>
    <r>
      <rPr>
        <sz val="14"/>
        <color rgb="FFFF0000"/>
        <rFont val="Helvetica"/>
        <family val="2"/>
      </rPr>
      <t>New Launch</t>
    </r>
  </si>
  <si>
    <t>Z40 pro V2.0</t>
  </si>
  <si>
    <t>ANC, 100H Playtime, Amp App Support, Quad Mic ENC, Dual Device Pairing, 13mm Driver, Bluetooth 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</si>
</sst>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Dotum"/>
      <family val="2"/>
      <charset val="129"/>
    </font>
    <font>
      <b/>
      <sz val="18"/>
      <color theme="1"/>
      <name val="Helvetica"/>
      <family val="2"/>
    </font>
    <font>
      <sz val="11"/>
      <color theme="1"/>
      <name val="Helvetica"/>
      <family val="2"/>
    </font>
    <font>
      <b/>
      <sz val="16"/>
      <color theme="1"/>
      <name val="Helvetica"/>
      <family val="2"/>
    </font>
    <font>
      <sz val="14"/>
      <color theme="1"/>
      <name val="Helvetica"/>
      <family val="2"/>
    </font>
    <font>
      <sz val="14"/>
      <color rgb="FFFF0000"/>
      <name val="Helvetica"/>
      <family val="2"/>
    </font>
    <font>
      <b/>
      <sz val="14"/>
      <color rgb="FFFF0000"/>
      <name val="Helvetica"/>
      <family val="2"/>
    </font>
    <font>
      <b/>
      <sz val="18"/>
      <color theme="1"/>
      <name val="American Typewriter"/>
      <family val="1"/>
    </font>
    <font>
      <b/>
      <u/>
      <sz val="18"/>
      <color theme="10"/>
      <name val="American Typewriter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164" fontId="6" fillId="0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20" xfId="0" applyFont="1" applyBorder="1" applyAlignment="1">
      <alignment horizontal="center" vertical="center"/>
    </xf>
    <xf numFmtId="164" fontId="7" fillId="0" borderId="20" xfId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2" borderId="17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2" borderId="12" xfId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3" xfId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2" borderId="11" xfId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4" fontId="7" fillId="0" borderId="8" xfId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7" fillId="2" borderId="13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7" fillId="0" borderId="5" xfId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2" borderId="14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2" borderId="1" xfId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64" fontId="7" fillId="0" borderId="22" xfId="1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164" fontId="7" fillId="2" borderId="23" xfId="1" applyFont="1" applyFill="1" applyBorder="1" applyAlignment="1">
      <alignment horizontal="center" vertical="center"/>
    </xf>
    <xf numFmtId="164" fontId="5" fillId="0" borderId="0" xfId="1" applyFont="1"/>
    <xf numFmtId="0" fontId="6" fillId="0" borderId="1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0" fillId="0" borderId="0" xfId="0" applyFont="1"/>
    <xf numFmtId="0" fontId="6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12451</xdr:colOff>
      <xdr:row>0</xdr:row>
      <xdr:rowOff>37353</xdr:rowOff>
    </xdr:from>
    <xdr:to>
      <xdr:col>2</xdr:col>
      <xdr:colOff>2137418</xdr:colOff>
      <xdr:row>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A013F0-72F1-78FB-10D4-EA3C8CA3A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157" y="37353"/>
          <a:ext cx="2124967" cy="1195294"/>
        </a:xfrm>
        <a:prstGeom prst="rect">
          <a:avLst/>
        </a:prstGeom>
      </xdr:spPr>
    </xdr:pic>
    <xdr:clientData/>
  </xdr:twoCellAnchor>
  <xdr:twoCellAnchor editAs="oneCell">
    <xdr:from>
      <xdr:col>9</xdr:col>
      <xdr:colOff>359917</xdr:colOff>
      <xdr:row>0</xdr:row>
      <xdr:rowOff>62255</xdr:rowOff>
    </xdr:from>
    <xdr:to>
      <xdr:col>10</xdr:col>
      <xdr:colOff>893610</xdr:colOff>
      <xdr:row>5</xdr:row>
      <xdr:rowOff>174314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1DCA9F-3BD3-8E4A-861A-3B2FF7FE8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152" y="62255"/>
          <a:ext cx="2058562" cy="1157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boult.co.in/products/drift?variant=40166882803781" TargetMode="External"/><Relationship Id="rId18" Type="http://schemas.openxmlformats.org/officeDocument/2006/relationships/hyperlink" Target="https://www.goboult.co.in/products/boult-thrux-gps-tracker-smartwatch?variant=42331781398597" TargetMode="External"/><Relationship Id="rId26" Type="http://schemas.openxmlformats.org/officeDocument/2006/relationships/hyperlink" Target="https://www.flipkart.com/boult-anchor-anc-calling-72h-battery-dual-pairing-foldable-built-40mm-driver-5-4v-bluetooth-wired/p/itm383189d75a60e" TargetMode="External"/><Relationship Id="rId39" Type="http://schemas.openxmlformats.org/officeDocument/2006/relationships/hyperlink" Target="../../../Library/Containers/com.microsoft.Excel/Data/Library/Application%20Support/Microsoft/Mustang%20Muscle" TargetMode="External"/><Relationship Id="rId21" Type="http://schemas.openxmlformats.org/officeDocument/2006/relationships/hyperlink" Target="https://www.goboult.co.in/products/goboult-rover-pro?srsltid=AfmBOooB_gyYomTKxzqTuLiHrNij1ww8v3KJU4kvtF2oNGimx2ym0EpL" TargetMode="External"/><Relationship Id="rId34" Type="http://schemas.openxmlformats.org/officeDocument/2006/relationships/hyperlink" Target="https://goboult.co.in/pages/search?q=tenet" TargetMode="External"/><Relationship Id="rId42" Type="http://schemas.openxmlformats.org/officeDocument/2006/relationships/hyperlink" Target="https://goboult.co.in/products/bassbox-groove-q12?variant=44840628944965" TargetMode="External"/><Relationship Id="rId47" Type="http://schemas.openxmlformats.org/officeDocument/2006/relationships/hyperlink" Target="https://www.goboult.co.in/products/drift?variant=40166882803781" TargetMode="External"/><Relationship Id="rId50" Type="http://schemas.openxmlformats.org/officeDocument/2006/relationships/hyperlink" Target="https://www.amazon.in/GOBOULT-Mustang-GT-20-Bluetooth/dp/B0GWFD3Q2B/ref=asc_df_B0GWFD3Q2B?mcid=0419ac61d9df3792a3d1b61b88caabc2&amp;tag=googleshopdes-21&amp;linkCode=df0&amp;hvadid=710048204371&amp;hvpos=&amp;hvnetw=g&amp;hvrand=5547576620549835437&amp;hvpone=&amp;hvptwo=&amp;hvqmt=&amp;hvdev=c&amp;hvdvcmdl=&amp;hvlocint=&amp;hvlocphy=9184865&amp;hvtargid=pla-2485834689110&amp;hvocijid=5547576620549835437-B0GWFD3Q2B-&amp;hvexpln=0&amp;gad_source=1&amp;th=1" TargetMode="External"/><Relationship Id="rId7" Type="http://schemas.openxmlformats.org/officeDocument/2006/relationships/hyperlink" Target="https://www.goboult.co.in/products/mustang-torq?variant=41772203507781" TargetMode="External"/><Relationship Id="rId2" Type="http://schemas.openxmlformats.org/officeDocument/2006/relationships/hyperlink" Target="https://www.goboult.co.in/products/airbass-y1-true-wireless-bluetooth-earbuds-with-mic?variant=39805435936837" TargetMode="External"/><Relationship Id="rId16" Type="http://schemas.openxmlformats.org/officeDocument/2006/relationships/hyperlink" Target="https://www.flipkart.com/boult-crown-1-95-screen-bt-calling-working-crown-zinc-alloy-frame-900-nits-spo2-smartwatch/p/itm64167ad731c6b" TargetMode="External"/><Relationship Id="rId29" Type="http://schemas.openxmlformats.org/officeDocument/2006/relationships/hyperlink" Target="https://www.flipkart.com/boult-probass-eqcharge-zen-mode-enc-32hrs-playtime-ultra-fast-charging-bluetooth-headset/p/itm98beb04112476" TargetMode="External"/><Relationship Id="rId11" Type="http://schemas.openxmlformats.org/officeDocument/2006/relationships/hyperlink" Target="https://www.goboult.co.in/products/ampvault-v20-20000-mah?variant=42195220037701" TargetMode="External"/><Relationship Id="rId24" Type="http://schemas.openxmlformats.org/officeDocument/2006/relationships/hyperlink" Target="https://www.goboult.co.in/products/fluid-x?srsltid=AfmBOoqevv1sGCbttFwXnJbfStTAGX-UvzruBKw9hEMz8ZQkDNldPU2L" TargetMode="External"/><Relationship Id="rId32" Type="http://schemas.openxmlformats.org/officeDocument/2006/relationships/hyperlink" Target="https://goboult.co.in/pages/search?q=saber" TargetMode="External"/><Relationship Id="rId37" Type="http://schemas.openxmlformats.org/officeDocument/2006/relationships/hyperlink" Target="https://goboult.co.in/products/mustang-stallion-nitro-black?variant=44619924340805" TargetMode="External"/><Relationship Id="rId40" Type="http://schemas.openxmlformats.org/officeDocument/2006/relationships/hyperlink" Target="https://goboult.co.in/products/bassbox-rave-q5?variant=44840627929157" TargetMode="External"/><Relationship Id="rId45" Type="http://schemas.openxmlformats.org/officeDocument/2006/relationships/hyperlink" Target="https://goboult.co.in/products/earl-ivory-white?variant=44606012588101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goboult.co.in/products/astra?variant=40628948664389" TargetMode="External"/><Relationship Id="rId10" Type="http://schemas.openxmlformats.org/officeDocument/2006/relationships/hyperlink" Target="https://www.goboult.co.in/products/ampvault-v10-10000-mah?variant=42043756675141" TargetMode="External"/><Relationship Id="rId19" Type="http://schemas.openxmlformats.org/officeDocument/2006/relationships/hyperlink" Target="https://www.flipkart.com/boult-crownr-pro-1-43-hd-amoled-bt-calling-zinc-alloy-frame-ip67-spo2-tracking-smartwatch/p/itmb16c39a22d2c6" TargetMode="External"/><Relationship Id="rId31" Type="http://schemas.openxmlformats.org/officeDocument/2006/relationships/hyperlink" Target="https://goboult.co.in/products/alora-rose-gold?variant=44103315062853" TargetMode="External"/><Relationship Id="rId44" Type="http://schemas.openxmlformats.org/officeDocument/2006/relationships/hyperlink" Target="https://goboult.co.in/products/mustang-thunder?variant=43970805792837" TargetMode="External"/><Relationship Id="rId52" Type="http://schemas.openxmlformats.org/officeDocument/2006/relationships/hyperlink" Target="https://www.amazon.in/GOBOULT-Playtime-Cancellation-Bluetooth-Wireless/dp/B0GRV5Q18B" TargetMode="External"/><Relationship Id="rId4" Type="http://schemas.openxmlformats.org/officeDocument/2006/relationships/hyperlink" Target="https://www.goboult.co.in/products/w40?variant=40615833305157" TargetMode="External"/><Relationship Id="rId9" Type="http://schemas.openxmlformats.org/officeDocument/2006/relationships/hyperlink" Target="https://www.goboult.co.in/products/gxcharge?srsltid=AfmBOorY4-LbX5a3kX9CbOAh_lyHdHIqEFpjIkjdQ1r7Zv-FvZ5iMWHC" TargetMode="External"/><Relationship Id="rId14" Type="http://schemas.openxmlformats.org/officeDocument/2006/relationships/hyperlink" Target="https://www.goboult.co.in/products/drift-1?variant=40531548864581" TargetMode="External"/><Relationship Id="rId22" Type="http://schemas.openxmlformats.org/officeDocument/2006/relationships/hyperlink" Target="https://www.flipkart.com/boult-q-70-hrs-battery-enc-mic-40mm-boosted-drivers-4-eq-modes-supreme-bass-5-4v-bluetooth-wired/p/itmc4d9fc2d455b9" TargetMode="External"/><Relationship Id="rId27" Type="http://schemas.openxmlformats.org/officeDocument/2006/relationships/hyperlink" Target="https://www.goboult.co.in/products/flex?srsltid=AfmBOoqPsw0JCsuJQwfBRxGs7NsOBXe5O2FBmL3l4hSHp6chNDRhcSsT" TargetMode="External"/><Relationship Id="rId30" Type="http://schemas.openxmlformats.org/officeDocument/2006/relationships/hyperlink" Target="https://goboult.co.in/pages/search?q=hawk" TargetMode="External"/><Relationship Id="rId35" Type="http://schemas.openxmlformats.org/officeDocument/2006/relationships/hyperlink" Target="https://goboult.co.in/pages/search?q=v2.0" TargetMode="External"/><Relationship Id="rId43" Type="http://schemas.openxmlformats.org/officeDocument/2006/relationships/hyperlink" Target="https://goboult.co.in/products/groove-q14-bluetooth-speaker?variant=44862894276677" TargetMode="External"/><Relationship Id="rId48" Type="http://schemas.openxmlformats.org/officeDocument/2006/relationships/hyperlink" Target="https://www.goboult.co.in/products/goboult-rover-pro?srsltid=AfmBOooB_gyYomTKxzqTuLiHrNij1ww8v3KJU4kvtF2oNGimx2ym0EpL" TargetMode="External"/><Relationship Id="rId8" Type="http://schemas.openxmlformats.org/officeDocument/2006/relationships/hyperlink" Target="https://www.flipkart.com/boult-probass-fcharge-40-hrs-playtime-enc-fast-charging-pairing-bluetooth-headset/p/itmee2be3508aea5" TargetMode="External"/><Relationship Id="rId51" Type="http://schemas.openxmlformats.org/officeDocument/2006/relationships/hyperlink" Target="https://www.amazon.in/GOBOULT-Mustang-GT-40-Bluetooth/dp/B0GWFB37QZ/ref=asc_df_B0GWFB37QZ?mcid=1c58df0665c537f5b63d3fcd2e30defd&amp;tag=googleshopdes-21&amp;linkCode=df0&amp;hvadid=710048204371&amp;hvpos=&amp;hvnetw=g&amp;hvrand=10653025912439540829&amp;hvpone=&amp;hvptwo=&amp;hvqmt=&amp;hvdev=c&amp;hvdvcmdl=&amp;hvlocint=&amp;hvlocphy=9184865&amp;hvtargid=pla-2482397876082&amp;hvocijid=10653025912439540829-B0GWFB37QZ-&amp;hvexpln=0&amp;gad_source=1&amp;th=1" TargetMode="External"/><Relationship Id="rId3" Type="http://schemas.openxmlformats.org/officeDocument/2006/relationships/hyperlink" Target="https://www.goboult.co.in/products/y1-pro?variant=41556542816325" TargetMode="External"/><Relationship Id="rId12" Type="http://schemas.openxmlformats.org/officeDocument/2006/relationships/hyperlink" Target="https://www.goboult.co.in/products/drift-1?variant=40531548864581" TargetMode="External"/><Relationship Id="rId17" Type="http://schemas.openxmlformats.org/officeDocument/2006/relationships/hyperlink" Target="https://www.flipkart.com/goboult-previously-boult-crown-1-95-screen-working-crown-zinc-alloy-frame-900-nit-smartwatch/p/itm4efa20118bb32?pid=SMWGSVXARMNAUZEE&amp;lid=LSTSMWGSVXARMNAUZEEL9JCD6&amp;marketplace=FLIPKART&amp;sattr%5b%5d=color&amp;sattr%5b%5d=display_size&amp;st=color" TargetMode="External"/><Relationship Id="rId25" Type="http://schemas.openxmlformats.org/officeDocument/2006/relationships/hyperlink" Target="https://www.flipkart.com/boult-fluid-x-pro-anc-calling-70h-battery-40mm-drivers-foldable-design-gaming-mode-bluetooth-wired/p/itmbb4cb30d47fa3" TargetMode="External"/><Relationship Id="rId33" Type="http://schemas.openxmlformats.org/officeDocument/2006/relationships/hyperlink" Target="https://goboult.co.in/pages/search?q=rivet" TargetMode="External"/><Relationship Id="rId38" Type="http://schemas.openxmlformats.org/officeDocument/2006/relationships/hyperlink" Target="https://goboult.co.in/products/mustang-racer-apex-blue?variant=44652428165189" TargetMode="External"/><Relationship Id="rId46" Type="http://schemas.openxmlformats.org/officeDocument/2006/relationships/hyperlink" Target="https://goboult.co.in/products/mustang-sprint-turbo-yellow?variant=44695549411397" TargetMode="External"/><Relationship Id="rId20" Type="http://schemas.openxmlformats.org/officeDocument/2006/relationships/hyperlink" Target="https://www.flipkart.com/goboult-previously-boult-crown-r-pro-1-43-hd-amoled-bt-calling-zinc-alloy-frame-smartwatch/p/itmeb026d2d76216?pid=SMWGQ2R4BBCTHGPZ&amp;lid=LSTSMWGQ2R4BBCTHGPZO3VPAL&amp;marketplace=FLIPKART&amp;sattr%5b%5d=color&amp;sattr%5b%5d=display_size&amp;st=color" TargetMode="External"/><Relationship Id="rId41" Type="http://schemas.openxmlformats.org/officeDocument/2006/relationships/hyperlink" Target="https://goboult.co.in/products/goboult-rave-q10-bluetooth-speaker-10w-output-rgb-lights-tws-mode?variant=44862835785797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https://www.goboult.co.in/products/w20?srsltid=AfmBOoojKN_Tdrlfg5zkPkYM1znntAjkeKetgtR9FxvBI1fdmxwFSuLQ" TargetMode="External"/><Relationship Id="rId6" Type="http://schemas.openxmlformats.org/officeDocument/2006/relationships/hyperlink" Target="https://www.goboult.co.in/products/goboult-z40-pro?variant=40640600703045" TargetMode="External"/><Relationship Id="rId15" Type="http://schemas.openxmlformats.org/officeDocument/2006/relationships/hyperlink" Target="https://www.goboult.co.in/products/goboult-trail?variant=41599973359685" TargetMode="External"/><Relationship Id="rId23" Type="http://schemas.openxmlformats.org/officeDocument/2006/relationships/hyperlink" Target="https://www.flipkart.com/boult-mustang-q-70hrs-battery-enc-mic-40mm-bass-boosted-drivers-4-eq-modes-5-4v-bluetooth-wired/p/itm650f231ae50e9" TargetMode="External"/><Relationship Id="rId28" Type="http://schemas.openxmlformats.org/officeDocument/2006/relationships/hyperlink" Target="https://www.amazon.in/Launched-Bluetooth-Headphones-Playtime-Charging/dp/B0F9YV4KDD?th=1" TargetMode="External"/><Relationship Id="rId36" Type="http://schemas.openxmlformats.org/officeDocument/2006/relationships/hyperlink" Target="https://goboult.co.in/pages/search?q=raven" TargetMode="External"/><Relationship Id="rId49" Type="http://schemas.openxmlformats.org/officeDocument/2006/relationships/hyperlink" Target="https://goboult.co.in/products/bassbox-groove-q20?variant=448878804665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5F56-B638-4D47-89B7-CC03A2D3E647}">
  <dimension ref="C1:K65"/>
  <sheetViews>
    <sheetView tabSelected="1" topLeftCell="B52" zoomScale="83" zoomScaleNormal="70" workbookViewId="0">
      <selection activeCell="J44" activeCellId="1" sqref="J38 J44"/>
    </sheetView>
  </sheetViews>
  <sheetFormatPr baseColWidth="10" defaultColWidth="8.83203125" defaultRowHeight="24" x14ac:dyDescent="0.3"/>
  <cols>
    <col min="1" max="2" width="8.83203125" style="2"/>
    <col min="3" max="3" width="48" style="42" bestFit="1" customWidth="1"/>
    <col min="4" max="4" width="119.83203125" style="2" bestFit="1" customWidth="1"/>
    <col min="5" max="5" width="18.5" style="2" bestFit="1" customWidth="1"/>
    <col min="6" max="6" width="14.83203125" style="33" bestFit="1" customWidth="1"/>
    <col min="7" max="7" width="24.33203125" style="33" bestFit="1" customWidth="1"/>
    <col min="8" max="8" width="18" style="2" bestFit="1" customWidth="1"/>
    <col min="9" max="9" width="18.83203125" style="2" bestFit="1" customWidth="1"/>
    <col min="10" max="10" width="19.83203125" style="2" bestFit="1" customWidth="1"/>
    <col min="11" max="11" width="32.5" style="46" bestFit="1" customWidth="1"/>
    <col min="12" max="16384" width="8.83203125" style="2"/>
  </cols>
  <sheetData>
    <row r="1" spans="3:11" ht="24" customHeight="1" x14ac:dyDescent="0.2">
      <c r="C1" s="53" t="s">
        <v>115</v>
      </c>
      <c r="D1" s="53"/>
      <c r="E1" s="53"/>
      <c r="F1" s="53"/>
      <c r="G1" s="53"/>
      <c r="H1" s="53"/>
      <c r="I1" s="53"/>
      <c r="J1" s="53"/>
      <c r="K1" s="53"/>
    </row>
    <row r="2" spans="3:11" ht="15" x14ac:dyDescent="0.2">
      <c r="C2" s="53"/>
      <c r="D2" s="53"/>
      <c r="E2" s="53"/>
      <c r="F2" s="53"/>
      <c r="G2" s="53"/>
      <c r="H2" s="53"/>
      <c r="I2" s="53"/>
      <c r="J2" s="53"/>
      <c r="K2" s="53"/>
    </row>
    <row r="3" spans="3:11" ht="15" x14ac:dyDescent="0.2">
      <c r="C3" s="53"/>
      <c r="D3" s="53"/>
      <c r="E3" s="53"/>
      <c r="F3" s="53"/>
      <c r="G3" s="53"/>
      <c r="H3" s="53"/>
      <c r="I3" s="53"/>
      <c r="J3" s="53"/>
      <c r="K3" s="53"/>
    </row>
    <row r="4" spans="3:11" ht="15" customHeight="1" x14ac:dyDescent="0.2">
      <c r="C4" s="53"/>
      <c r="D4" s="53"/>
      <c r="E4" s="53"/>
      <c r="F4" s="53"/>
      <c r="G4" s="53"/>
      <c r="H4" s="53"/>
      <c r="I4" s="53"/>
      <c r="J4" s="53"/>
      <c r="K4" s="53"/>
    </row>
    <row r="5" spans="3:11" ht="15" customHeight="1" x14ac:dyDescent="0.2">
      <c r="C5" s="53"/>
      <c r="D5" s="53"/>
      <c r="E5" s="53"/>
      <c r="F5" s="53"/>
      <c r="G5" s="53"/>
      <c r="H5" s="53"/>
      <c r="I5" s="53"/>
      <c r="J5" s="53"/>
      <c r="K5" s="53"/>
    </row>
    <row r="6" spans="3:11" ht="15" customHeight="1" x14ac:dyDescent="0.2">
      <c r="C6" s="54"/>
      <c r="D6" s="54"/>
      <c r="E6" s="54"/>
      <c r="F6" s="54"/>
      <c r="G6" s="54"/>
      <c r="H6" s="54"/>
      <c r="I6" s="54"/>
      <c r="J6" s="54"/>
      <c r="K6" s="54"/>
    </row>
    <row r="7" spans="3:11" s="6" customFormat="1" ht="55" customHeight="1" x14ac:dyDescent="0.2">
      <c r="C7" s="34" t="s">
        <v>7</v>
      </c>
      <c r="D7" s="3" t="s">
        <v>96</v>
      </c>
      <c r="E7" s="3" t="s">
        <v>9</v>
      </c>
      <c r="F7" s="4" t="s">
        <v>8</v>
      </c>
      <c r="G7" s="4" t="s">
        <v>126</v>
      </c>
      <c r="H7" s="3" t="s">
        <v>36</v>
      </c>
      <c r="I7" s="3" t="s">
        <v>37</v>
      </c>
      <c r="J7" s="5" t="s">
        <v>35</v>
      </c>
      <c r="K7" s="43" t="s">
        <v>67</v>
      </c>
    </row>
    <row r="8" spans="3:11" s="6" customFormat="1" ht="55" customHeight="1" x14ac:dyDescent="0.2">
      <c r="C8" s="35" t="s">
        <v>0</v>
      </c>
      <c r="D8" s="7" t="s">
        <v>40</v>
      </c>
      <c r="E8" s="7" t="s">
        <v>10</v>
      </c>
      <c r="F8" s="8">
        <v>2499</v>
      </c>
      <c r="G8" s="8">
        <v>999</v>
      </c>
      <c r="H8" s="9">
        <f>J8/1.18</f>
        <v>550.84745762711873</v>
      </c>
      <c r="I8" s="9">
        <f>H8*18%</f>
        <v>99.152542372881371</v>
      </c>
      <c r="J8" s="10">
        <v>650</v>
      </c>
      <c r="K8" s="45" t="s">
        <v>0</v>
      </c>
    </row>
    <row r="9" spans="3:11" s="6" customFormat="1" ht="55" customHeight="1" x14ac:dyDescent="0.2">
      <c r="C9" s="36" t="s">
        <v>4</v>
      </c>
      <c r="D9" s="11" t="s">
        <v>41</v>
      </c>
      <c r="E9" s="11" t="s">
        <v>10</v>
      </c>
      <c r="F9" s="12">
        <v>5499</v>
      </c>
      <c r="G9" s="12">
        <v>899</v>
      </c>
      <c r="H9" s="13">
        <f t="shared" ref="H9:H52" si="0">J9/1.18</f>
        <v>491.52542372881356</v>
      </c>
      <c r="I9" s="13">
        <f t="shared" ref="I9:I52" si="1">H9*18%</f>
        <v>88.474576271186436</v>
      </c>
      <c r="J9" s="14">
        <v>580</v>
      </c>
      <c r="K9" s="44" t="s">
        <v>4</v>
      </c>
    </row>
    <row r="10" spans="3:11" s="6" customFormat="1" ht="55" customHeight="1" x14ac:dyDescent="0.2">
      <c r="C10" s="36" t="s">
        <v>5</v>
      </c>
      <c r="D10" s="11" t="s">
        <v>42</v>
      </c>
      <c r="E10" s="11" t="s">
        <v>10</v>
      </c>
      <c r="F10" s="12">
        <v>5999</v>
      </c>
      <c r="G10" s="12">
        <v>999</v>
      </c>
      <c r="H10" s="13">
        <f t="shared" si="0"/>
        <v>593.22033898305085</v>
      </c>
      <c r="I10" s="13">
        <f t="shared" si="1"/>
        <v>106.77966101694915</v>
      </c>
      <c r="J10" s="14">
        <v>700</v>
      </c>
      <c r="K10" s="44" t="s">
        <v>5</v>
      </c>
    </row>
    <row r="11" spans="3:11" s="6" customFormat="1" ht="55" customHeight="1" x14ac:dyDescent="0.2">
      <c r="C11" s="36" t="s">
        <v>1</v>
      </c>
      <c r="D11" s="11" t="s">
        <v>43</v>
      </c>
      <c r="E11" s="11" t="s">
        <v>10</v>
      </c>
      <c r="F11" s="12">
        <v>2999</v>
      </c>
      <c r="G11" s="12">
        <v>899</v>
      </c>
      <c r="H11" s="13">
        <f t="shared" si="0"/>
        <v>628.81355932203394</v>
      </c>
      <c r="I11" s="13">
        <f t="shared" si="1"/>
        <v>113.1864406779661</v>
      </c>
      <c r="J11" s="14">
        <v>742</v>
      </c>
      <c r="K11" s="44" t="s">
        <v>1</v>
      </c>
    </row>
    <row r="12" spans="3:11" s="6" customFormat="1" ht="55" customHeight="1" x14ac:dyDescent="0.2">
      <c r="C12" s="36" t="s">
        <v>6</v>
      </c>
      <c r="D12" s="11" t="s">
        <v>44</v>
      </c>
      <c r="E12" s="11" t="s">
        <v>10</v>
      </c>
      <c r="F12" s="12">
        <v>3499</v>
      </c>
      <c r="G12" s="12">
        <v>1299</v>
      </c>
      <c r="H12" s="13">
        <f t="shared" si="0"/>
        <v>720.33898305084745</v>
      </c>
      <c r="I12" s="13">
        <f t="shared" si="1"/>
        <v>129.66101694915253</v>
      </c>
      <c r="J12" s="14">
        <v>850</v>
      </c>
      <c r="K12" s="44" t="s">
        <v>6</v>
      </c>
    </row>
    <row r="13" spans="3:11" s="6" customFormat="1" ht="55" customHeight="1" x14ac:dyDescent="0.2">
      <c r="C13" s="36" t="s">
        <v>129</v>
      </c>
      <c r="D13" s="11" t="s">
        <v>85</v>
      </c>
      <c r="E13" s="11" t="s">
        <v>10</v>
      </c>
      <c r="F13" s="12">
        <v>4999</v>
      </c>
      <c r="G13" s="12">
        <v>1299</v>
      </c>
      <c r="H13" s="13">
        <f t="shared" si="0"/>
        <v>935.59322033898309</v>
      </c>
      <c r="I13" s="13">
        <f t="shared" si="1"/>
        <v>168.40677966101694</v>
      </c>
      <c r="J13" s="14">
        <v>1104</v>
      </c>
      <c r="K13" s="44" t="s">
        <v>82</v>
      </c>
    </row>
    <row r="14" spans="3:11" s="6" customFormat="1" ht="55" customHeight="1" x14ac:dyDescent="0.2">
      <c r="C14" s="36" t="s">
        <v>131</v>
      </c>
      <c r="D14" s="11" t="s">
        <v>86</v>
      </c>
      <c r="E14" s="11" t="s">
        <v>10</v>
      </c>
      <c r="F14" s="12">
        <v>5499</v>
      </c>
      <c r="G14" s="12">
        <v>1499</v>
      </c>
      <c r="H14" s="13">
        <f t="shared" si="0"/>
        <v>1079.6610169491526</v>
      </c>
      <c r="I14" s="13">
        <f t="shared" si="1"/>
        <v>194.33898305084745</v>
      </c>
      <c r="J14" s="14">
        <v>1274</v>
      </c>
      <c r="K14" s="44" t="s">
        <v>83</v>
      </c>
    </row>
    <row r="15" spans="3:11" s="6" customFormat="1" ht="55" customHeight="1" x14ac:dyDescent="0.2">
      <c r="C15" s="36" t="s">
        <v>2</v>
      </c>
      <c r="D15" s="11" t="s">
        <v>45</v>
      </c>
      <c r="E15" s="11" t="s">
        <v>10</v>
      </c>
      <c r="F15" s="12">
        <v>5499</v>
      </c>
      <c r="G15" s="12">
        <v>1299</v>
      </c>
      <c r="H15" s="13">
        <f t="shared" si="0"/>
        <v>838.98305084745778</v>
      </c>
      <c r="I15" s="13">
        <f t="shared" si="1"/>
        <v>151.0169491525424</v>
      </c>
      <c r="J15" s="14">
        <v>990.00000000000011</v>
      </c>
      <c r="K15" s="44" t="s">
        <v>2</v>
      </c>
    </row>
    <row r="16" spans="3:11" s="6" customFormat="1" ht="55" customHeight="1" x14ac:dyDescent="0.2">
      <c r="C16" s="36" t="s">
        <v>130</v>
      </c>
      <c r="D16" s="11" t="s">
        <v>84</v>
      </c>
      <c r="E16" s="11" t="s">
        <v>10</v>
      </c>
      <c r="F16" s="12">
        <v>5499</v>
      </c>
      <c r="G16" s="12">
        <v>1199</v>
      </c>
      <c r="H16" s="13">
        <f>J16/1.18</f>
        <v>635.59322033898309</v>
      </c>
      <c r="I16" s="13">
        <f>H16*18%</f>
        <v>114.40677966101696</v>
      </c>
      <c r="J16" s="14">
        <v>750</v>
      </c>
      <c r="K16" s="44" t="s">
        <v>94</v>
      </c>
    </row>
    <row r="17" spans="3:11" s="6" customFormat="1" ht="55" customHeight="1" x14ac:dyDescent="0.2">
      <c r="C17" s="36" t="s">
        <v>146</v>
      </c>
      <c r="D17" s="11" t="s">
        <v>148</v>
      </c>
      <c r="E17" s="11" t="s">
        <v>10</v>
      </c>
      <c r="F17" s="12">
        <v>5999</v>
      </c>
      <c r="G17" s="12">
        <v>1499</v>
      </c>
      <c r="H17" s="13">
        <f>J17/1.18</f>
        <v>1016.949152542373</v>
      </c>
      <c r="I17" s="13">
        <f>H17*18%</f>
        <v>183.05084745762713</v>
      </c>
      <c r="J17" s="14">
        <v>1200</v>
      </c>
      <c r="K17" s="44" t="s">
        <v>147</v>
      </c>
    </row>
    <row r="18" spans="3:11" s="6" customFormat="1" ht="55" customHeight="1" x14ac:dyDescent="0.2">
      <c r="C18" s="37" t="s">
        <v>118</v>
      </c>
      <c r="D18" s="15" t="s">
        <v>98</v>
      </c>
      <c r="E18" s="15" t="s">
        <v>10</v>
      </c>
      <c r="F18" s="16">
        <v>6999</v>
      </c>
      <c r="G18" s="16">
        <v>2499</v>
      </c>
      <c r="H18" s="17">
        <f t="shared" si="0"/>
        <v>1800</v>
      </c>
      <c r="I18" s="13">
        <f t="shared" si="1"/>
        <v>324</v>
      </c>
      <c r="J18" s="18">
        <v>2124</v>
      </c>
      <c r="K18" s="44" t="s">
        <v>111</v>
      </c>
    </row>
    <row r="19" spans="3:11" s="6" customFormat="1" ht="55" customHeight="1" x14ac:dyDescent="0.2">
      <c r="C19" s="37" t="s">
        <v>119</v>
      </c>
      <c r="D19" s="15" t="s">
        <v>99</v>
      </c>
      <c r="E19" s="15" t="s">
        <v>10</v>
      </c>
      <c r="F19" s="16">
        <v>5999</v>
      </c>
      <c r="G19" s="16">
        <v>1799</v>
      </c>
      <c r="H19" s="17">
        <f>J19/1.18</f>
        <v>1271.1864406779662</v>
      </c>
      <c r="I19" s="13">
        <f>H19*18%</f>
        <v>228.81355932203391</v>
      </c>
      <c r="J19" s="18">
        <v>1500</v>
      </c>
      <c r="K19" s="44" t="s">
        <v>112</v>
      </c>
    </row>
    <row r="20" spans="3:11" s="6" customFormat="1" ht="55" customHeight="1" thickBot="1" x14ac:dyDescent="0.25">
      <c r="C20" s="38" t="s">
        <v>3</v>
      </c>
      <c r="D20" s="19" t="s">
        <v>46</v>
      </c>
      <c r="E20" s="19" t="s">
        <v>10</v>
      </c>
      <c r="F20" s="20">
        <v>5999</v>
      </c>
      <c r="G20" s="20">
        <v>1799</v>
      </c>
      <c r="H20" s="21">
        <f t="shared" si="0"/>
        <v>1101.6949152542375</v>
      </c>
      <c r="I20" s="21">
        <f t="shared" si="1"/>
        <v>198.30508474576274</v>
      </c>
      <c r="J20" s="22">
        <v>1300</v>
      </c>
      <c r="K20" s="44" t="s">
        <v>68</v>
      </c>
    </row>
    <row r="21" spans="3:11" s="6" customFormat="1" ht="55" customHeight="1" x14ac:dyDescent="0.2">
      <c r="C21" s="39" t="s">
        <v>11</v>
      </c>
      <c r="D21" s="23" t="s">
        <v>47</v>
      </c>
      <c r="E21" s="23" t="s">
        <v>14</v>
      </c>
      <c r="F21" s="24">
        <v>4499</v>
      </c>
      <c r="G21" s="24">
        <v>799</v>
      </c>
      <c r="H21" s="25">
        <f t="shared" si="0"/>
        <v>559.32203389830511</v>
      </c>
      <c r="I21" s="25">
        <f t="shared" si="1"/>
        <v>100.67796610169492</v>
      </c>
      <c r="J21" s="26">
        <v>660</v>
      </c>
      <c r="K21" s="44" t="s">
        <v>69</v>
      </c>
    </row>
    <row r="22" spans="3:11" s="6" customFormat="1" ht="55" customHeight="1" x14ac:dyDescent="0.2">
      <c r="C22" s="36" t="s">
        <v>12</v>
      </c>
      <c r="D22" s="27" t="s">
        <v>49</v>
      </c>
      <c r="E22" s="11" t="s">
        <v>14</v>
      </c>
      <c r="F22" s="12">
        <v>4999</v>
      </c>
      <c r="G22" s="12">
        <v>899</v>
      </c>
      <c r="H22" s="13">
        <f t="shared" si="0"/>
        <v>652.54237288135607</v>
      </c>
      <c r="I22" s="13">
        <f t="shared" si="1"/>
        <v>117.45762711864408</v>
      </c>
      <c r="J22" s="14">
        <v>770.00000000000011</v>
      </c>
      <c r="K22" s="44" t="s">
        <v>70</v>
      </c>
    </row>
    <row r="23" spans="3:11" s="6" customFormat="1" ht="55" customHeight="1" thickBot="1" x14ac:dyDescent="0.25">
      <c r="C23" s="38" t="s">
        <v>13</v>
      </c>
      <c r="D23" s="19" t="s">
        <v>48</v>
      </c>
      <c r="E23" s="19" t="s">
        <v>14</v>
      </c>
      <c r="F23" s="20">
        <v>4999</v>
      </c>
      <c r="G23" s="20">
        <v>799</v>
      </c>
      <c r="H23" s="21">
        <f t="shared" si="0"/>
        <v>512.71186440677968</v>
      </c>
      <c r="I23" s="21">
        <f t="shared" si="1"/>
        <v>92.288135593220346</v>
      </c>
      <c r="J23" s="22">
        <v>605</v>
      </c>
      <c r="K23" s="44" t="s">
        <v>13</v>
      </c>
    </row>
    <row r="24" spans="3:11" s="6" customFormat="1" ht="55" customHeight="1" x14ac:dyDescent="0.2">
      <c r="C24" s="39" t="s">
        <v>72</v>
      </c>
      <c r="D24" s="23" t="s">
        <v>38</v>
      </c>
      <c r="E24" s="23" t="s">
        <v>15</v>
      </c>
      <c r="F24" s="24">
        <v>2999</v>
      </c>
      <c r="G24" s="24">
        <v>1099</v>
      </c>
      <c r="H24" s="25">
        <f t="shared" si="0"/>
        <v>762.71186440677968</v>
      </c>
      <c r="I24" s="25">
        <f t="shared" si="1"/>
        <v>137.28813559322035</v>
      </c>
      <c r="J24" s="26">
        <v>900</v>
      </c>
      <c r="K24" s="44" t="s">
        <v>72</v>
      </c>
    </row>
    <row r="25" spans="3:11" s="6" customFormat="1" ht="55" customHeight="1" thickBot="1" x14ac:dyDescent="0.25">
      <c r="C25" s="38" t="s">
        <v>110</v>
      </c>
      <c r="D25" s="19" t="s">
        <v>39</v>
      </c>
      <c r="E25" s="19" t="s">
        <v>15</v>
      </c>
      <c r="F25" s="20">
        <v>4499</v>
      </c>
      <c r="G25" s="20">
        <v>1499</v>
      </c>
      <c r="H25" s="21">
        <f t="shared" si="0"/>
        <v>932.20338983050851</v>
      </c>
      <c r="I25" s="21">
        <f t="shared" si="1"/>
        <v>167.79661016949152</v>
      </c>
      <c r="J25" s="22">
        <v>1100</v>
      </c>
      <c r="K25" s="44" t="s">
        <v>71</v>
      </c>
    </row>
    <row r="26" spans="3:11" s="6" customFormat="1" ht="55" customHeight="1" thickBot="1" x14ac:dyDescent="0.25">
      <c r="C26" s="39" t="s">
        <v>22</v>
      </c>
      <c r="D26" s="23" t="s">
        <v>63</v>
      </c>
      <c r="E26" s="23" t="s">
        <v>23</v>
      </c>
      <c r="F26" s="24">
        <v>7499</v>
      </c>
      <c r="G26" s="24">
        <v>1199</v>
      </c>
      <c r="H26" s="25">
        <f t="shared" si="0"/>
        <v>792.37288135593235</v>
      </c>
      <c r="I26" s="25">
        <f t="shared" si="1"/>
        <v>142.62711864406782</v>
      </c>
      <c r="J26" s="26">
        <v>935.00000000000011</v>
      </c>
      <c r="K26" s="44" t="s">
        <v>22</v>
      </c>
    </row>
    <row r="27" spans="3:11" s="6" customFormat="1" ht="55" customHeight="1" thickBot="1" x14ac:dyDescent="0.25">
      <c r="C27" s="39" t="s">
        <v>116</v>
      </c>
      <c r="D27" s="23" t="s">
        <v>63</v>
      </c>
      <c r="E27" s="23" t="s">
        <v>23</v>
      </c>
      <c r="F27" s="24">
        <v>7499</v>
      </c>
      <c r="G27" s="24">
        <v>1399</v>
      </c>
      <c r="H27" s="25">
        <f>J27/1.18</f>
        <v>877.11864406779671</v>
      </c>
      <c r="I27" s="25">
        <f>H27*18%</f>
        <v>157.88135593220341</v>
      </c>
      <c r="J27" s="26">
        <v>1035</v>
      </c>
      <c r="K27" s="44" t="s">
        <v>22</v>
      </c>
    </row>
    <row r="28" spans="3:11" s="6" customFormat="1" ht="55" customHeight="1" thickBot="1" x14ac:dyDescent="0.25">
      <c r="C28" s="36" t="s">
        <v>20</v>
      </c>
      <c r="D28" s="11" t="s">
        <v>50</v>
      </c>
      <c r="E28" s="11" t="s">
        <v>23</v>
      </c>
      <c r="F28" s="12">
        <v>8499</v>
      </c>
      <c r="G28" s="24">
        <v>1199</v>
      </c>
      <c r="H28" s="13">
        <f t="shared" si="0"/>
        <v>805.08474576271192</v>
      </c>
      <c r="I28" s="13">
        <f t="shared" si="1"/>
        <v>144.91525423728814</v>
      </c>
      <c r="J28" s="14">
        <v>950</v>
      </c>
      <c r="K28" s="44" t="s">
        <v>73</v>
      </c>
    </row>
    <row r="29" spans="3:11" s="6" customFormat="1" ht="55" customHeight="1" x14ac:dyDescent="0.2">
      <c r="C29" s="36" t="s">
        <v>21</v>
      </c>
      <c r="D29" s="11" t="s">
        <v>50</v>
      </c>
      <c r="E29" s="11" t="s">
        <v>23</v>
      </c>
      <c r="F29" s="12">
        <v>8499</v>
      </c>
      <c r="G29" s="24">
        <v>1399</v>
      </c>
      <c r="H29" s="13">
        <f t="shared" si="0"/>
        <v>889.83050847457628</v>
      </c>
      <c r="I29" s="13">
        <f t="shared" si="1"/>
        <v>160.16949152542372</v>
      </c>
      <c r="J29" s="14">
        <v>1050</v>
      </c>
      <c r="K29" s="44" t="s">
        <v>21</v>
      </c>
    </row>
    <row r="30" spans="3:11" s="6" customFormat="1" ht="55" customHeight="1" x14ac:dyDescent="0.2">
      <c r="C30" s="36" t="s">
        <v>16</v>
      </c>
      <c r="D30" s="11" t="s">
        <v>79</v>
      </c>
      <c r="E30" s="11" t="s">
        <v>23</v>
      </c>
      <c r="F30" s="12">
        <v>6999</v>
      </c>
      <c r="G30" s="12">
        <v>1299</v>
      </c>
      <c r="H30" s="13">
        <f t="shared" si="0"/>
        <v>805.08474576271192</v>
      </c>
      <c r="I30" s="13">
        <f t="shared" si="1"/>
        <v>144.91525423728814</v>
      </c>
      <c r="J30" s="14">
        <v>950</v>
      </c>
      <c r="K30" s="44" t="s">
        <v>74</v>
      </c>
    </row>
    <row r="31" spans="3:11" s="6" customFormat="1" ht="55" customHeight="1" x14ac:dyDescent="0.2">
      <c r="C31" s="36" t="s">
        <v>17</v>
      </c>
      <c r="D31" s="11" t="s">
        <v>51</v>
      </c>
      <c r="E31" s="11" t="s">
        <v>23</v>
      </c>
      <c r="F31" s="12">
        <v>4499</v>
      </c>
      <c r="G31" s="12">
        <v>1299</v>
      </c>
      <c r="H31" s="13">
        <f t="shared" si="0"/>
        <v>932.20338983050851</v>
      </c>
      <c r="I31" s="13">
        <f t="shared" si="1"/>
        <v>167.79661016949152</v>
      </c>
      <c r="J31" s="14">
        <v>1100</v>
      </c>
      <c r="K31" s="44" t="s">
        <v>75</v>
      </c>
    </row>
    <row r="32" spans="3:11" s="6" customFormat="1" ht="55" customHeight="1" x14ac:dyDescent="0.2">
      <c r="C32" s="36" t="s">
        <v>24</v>
      </c>
      <c r="D32" s="11" t="s">
        <v>51</v>
      </c>
      <c r="E32" s="11" t="s">
        <v>23</v>
      </c>
      <c r="F32" s="12">
        <v>4499</v>
      </c>
      <c r="G32" s="12">
        <v>1499</v>
      </c>
      <c r="H32" s="13">
        <f t="shared" si="0"/>
        <v>1016.949152542373</v>
      </c>
      <c r="I32" s="13">
        <f t="shared" si="1"/>
        <v>183.05084745762713</v>
      </c>
      <c r="J32" s="14">
        <v>1200</v>
      </c>
      <c r="K32" s="44" t="s">
        <v>24</v>
      </c>
    </row>
    <row r="33" spans="3:11" s="6" customFormat="1" ht="55" customHeight="1" x14ac:dyDescent="0.2">
      <c r="C33" s="36" t="s">
        <v>18</v>
      </c>
      <c r="D33" s="11" t="s">
        <v>52</v>
      </c>
      <c r="E33" s="11" t="s">
        <v>23</v>
      </c>
      <c r="F33" s="12">
        <v>7999</v>
      </c>
      <c r="G33" s="12">
        <v>1899</v>
      </c>
      <c r="H33" s="13">
        <f t="shared" si="0"/>
        <v>1367.7966101694915</v>
      </c>
      <c r="I33" s="13">
        <f t="shared" si="1"/>
        <v>246.20338983050846</v>
      </c>
      <c r="J33" s="14">
        <v>1614</v>
      </c>
      <c r="K33" s="44" t="s">
        <v>18</v>
      </c>
    </row>
    <row r="34" spans="3:11" s="6" customFormat="1" ht="55" customHeight="1" x14ac:dyDescent="0.2">
      <c r="C34" s="36" t="s">
        <v>19</v>
      </c>
      <c r="D34" s="11" t="s">
        <v>54</v>
      </c>
      <c r="E34" s="11" t="s">
        <v>23</v>
      </c>
      <c r="F34" s="12">
        <v>6999</v>
      </c>
      <c r="G34" s="12">
        <v>1799</v>
      </c>
      <c r="H34" s="13">
        <f t="shared" si="0"/>
        <v>1313.5593220338983</v>
      </c>
      <c r="I34" s="13">
        <f t="shared" si="1"/>
        <v>236.44067796610167</v>
      </c>
      <c r="J34" s="14">
        <v>1550</v>
      </c>
      <c r="K34" s="44" t="s">
        <v>19</v>
      </c>
    </row>
    <row r="35" spans="3:11" s="6" customFormat="1" ht="55" customHeight="1" x14ac:dyDescent="0.2">
      <c r="C35" s="36" t="s">
        <v>25</v>
      </c>
      <c r="D35" s="11" t="s">
        <v>55</v>
      </c>
      <c r="E35" s="11" t="s">
        <v>23</v>
      </c>
      <c r="F35" s="12">
        <v>6999</v>
      </c>
      <c r="G35" s="12">
        <v>1999</v>
      </c>
      <c r="H35" s="13">
        <f t="shared" si="0"/>
        <v>1398.3050847457628</v>
      </c>
      <c r="I35" s="13">
        <f t="shared" si="1"/>
        <v>251.69491525423729</v>
      </c>
      <c r="J35" s="14">
        <v>1650</v>
      </c>
      <c r="K35" s="44" t="s">
        <v>25</v>
      </c>
    </row>
    <row r="36" spans="3:11" s="6" customFormat="1" ht="55" customHeight="1" x14ac:dyDescent="0.2">
      <c r="C36" s="37" t="s">
        <v>132</v>
      </c>
      <c r="D36" s="15" t="s">
        <v>87</v>
      </c>
      <c r="E36" s="11" t="s">
        <v>23</v>
      </c>
      <c r="F36" s="16">
        <v>5999</v>
      </c>
      <c r="G36" s="16">
        <v>1699</v>
      </c>
      <c r="H36" s="13">
        <f t="shared" si="0"/>
        <v>1223.7288135593221</v>
      </c>
      <c r="I36" s="13">
        <f t="shared" si="1"/>
        <v>220.27118644067798</v>
      </c>
      <c r="J36" s="18">
        <v>1444</v>
      </c>
      <c r="K36" s="44" t="s">
        <v>88</v>
      </c>
    </row>
    <row r="37" spans="3:11" s="6" customFormat="1" ht="55" customHeight="1" x14ac:dyDescent="0.2">
      <c r="C37" s="37" t="s">
        <v>133</v>
      </c>
      <c r="D37" s="15" t="s">
        <v>90</v>
      </c>
      <c r="E37" s="11" t="s">
        <v>23</v>
      </c>
      <c r="F37" s="16">
        <v>6999</v>
      </c>
      <c r="G37" s="16">
        <v>1499</v>
      </c>
      <c r="H37" s="13">
        <f t="shared" si="0"/>
        <v>1079.6610169491526</v>
      </c>
      <c r="I37" s="13">
        <f t="shared" si="1"/>
        <v>194.33898305084745</v>
      </c>
      <c r="J37" s="18">
        <v>1274</v>
      </c>
      <c r="K37" s="44" t="s">
        <v>89</v>
      </c>
    </row>
    <row r="38" spans="3:11" s="6" customFormat="1" ht="55" customHeight="1" x14ac:dyDescent="0.2">
      <c r="C38" s="37" t="s">
        <v>120</v>
      </c>
      <c r="D38" s="15" t="s">
        <v>91</v>
      </c>
      <c r="E38" s="11" t="s">
        <v>23</v>
      </c>
      <c r="F38" s="16">
        <v>7999</v>
      </c>
      <c r="G38" s="16">
        <v>2499</v>
      </c>
      <c r="H38" s="13">
        <f t="shared" si="0"/>
        <v>1800</v>
      </c>
      <c r="I38" s="13">
        <f t="shared" si="1"/>
        <v>324</v>
      </c>
      <c r="J38" s="18">
        <v>2124</v>
      </c>
      <c r="K38" s="44" t="s">
        <v>95</v>
      </c>
    </row>
    <row r="39" spans="3:11" s="6" customFormat="1" ht="55" customHeight="1" x14ac:dyDescent="0.2">
      <c r="C39" s="37" t="s">
        <v>134</v>
      </c>
      <c r="D39" s="15" t="s">
        <v>92</v>
      </c>
      <c r="E39" s="15" t="s">
        <v>23</v>
      </c>
      <c r="F39" s="16">
        <v>8499</v>
      </c>
      <c r="G39" s="16">
        <v>2999</v>
      </c>
      <c r="H39" s="13">
        <f t="shared" si="0"/>
        <v>2160.1694915254238</v>
      </c>
      <c r="I39" s="13">
        <f t="shared" si="1"/>
        <v>388.83050847457628</v>
      </c>
      <c r="J39" s="18">
        <v>2549</v>
      </c>
      <c r="K39" s="44" t="s">
        <v>93</v>
      </c>
    </row>
    <row r="40" spans="3:11" s="6" customFormat="1" ht="55" customHeight="1" x14ac:dyDescent="0.2">
      <c r="C40" s="40" t="s">
        <v>135</v>
      </c>
      <c r="D40" s="11" t="s">
        <v>92</v>
      </c>
      <c r="E40" s="11" t="s">
        <v>23</v>
      </c>
      <c r="F40" s="12">
        <v>14999</v>
      </c>
      <c r="G40" s="12">
        <v>4999</v>
      </c>
      <c r="H40" s="13">
        <f>J40/1.18</f>
        <v>3388.9830508474579</v>
      </c>
      <c r="I40" s="13">
        <f>H40*18%</f>
        <v>610.01694915254245</v>
      </c>
      <c r="J40" s="28">
        <v>3999</v>
      </c>
      <c r="K40" s="44" t="s">
        <v>97</v>
      </c>
    </row>
    <row r="41" spans="3:11" s="6" customFormat="1" ht="55" customHeight="1" x14ac:dyDescent="0.2">
      <c r="C41" s="40" t="s">
        <v>136</v>
      </c>
      <c r="D41" s="11" t="s">
        <v>101</v>
      </c>
      <c r="E41" s="11" t="s">
        <v>23</v>
      </c>
      <c r="F41" s="12">
        <v>12999</v>
      </c>
      <c r="G41" s="12">
        <v>3999</v>
      </c>
      <c r="H41" s="13">
        <f>J41/1.18</f>
        <v>2711.8644067796613</v>
      </c>
      <c r="I41" s="13">
        <f>H41*18%</f>
        <v>488.13559322033899</v>
      </c>
      <c r="J41" s="28">
        <v>3200</v>
      </c>
      <c r="K41" s="44" t="s">
        <v>102</v>
      </c>
    </row>
    <row r="42" spans="3:11" s="6" customFormat="1" ht="55" customHeight="1" x14ac:dyDescent="0.2">
      <c r="C42" s="40" t="s">
        <v>137</v>
      </c>
      <c r="D42" s="11" t="s">
        <v>100</v>
      </c>
      <c r="E42" s="11" t="s">
        <v>23</v>
      </c>
      <c r="F42" s="12">
        <v>9999</v>
      </c>
      <c r="G42" s="12">
        <v>2999</v>
      </c>
      <c r="H42" s="13">
        <f>J42/1.18</f>
        <v>2033.898305084746</v>
      </c>
      <c r="I42" s="13">
        <f>H42*18%</f>
        <v>366.10169491525426</v>
      </c>
      <c r="J42" s="28">
        <v>2400</v>
      </c>
      <c r="K42" s="44" t="s">
        <v>103</v>
      </c>
    </row>
    <row r="43" spans="3:11" s="6" customFormat="1" ht="55" customHeight="1" thickBot="1" x14ac:dyDescent="0.25">
      <c r="C43" s="41" t="s">
        <v>127</v>
      </c>
      <c r="D43" s="29" t="s">
        <v>53</v>
      </c>
      <c r="E43" s="29" t="s">
        <v>23</v>
      </c>
      <c r="F43" s="30">
        <v>10999</v>
      </c>
      <c r="G43" s="30">
        <v>1799</v>
      </c>
      <c r="H43" s="31">
        <f>J43/1.18</f>
        <v>1296.6101694915255</v>
      </c>
      <c r="I43" s="31">
        <f>H43*18%</f>
        <v>233.38983050847457</v>
      </c>
      <c r="J43" s="32">
        <v>1530</v>
      </c>
      <c r="K43" s="45" t="s">
        <v>76</v>
      </c>
    </row>
    <row r="44" spans="3:11" s="6" customFormat="1" ht="55" customHeight="1" thickBot="1" x14ac:dyDescent="0.25">
      <c r="C44" s="41" t="s">
        <v>128</v>
      </c>
      <c r="D44" s="29" t="s">
        <v>53</v>
      </c>
      <c r="E44" s="29" t="s">
        <v>23</v>
      </c>
      <c r="F44" s="30">
        <v>10999</v>
      </c>
      <c r="G44" s="30">
        <v>1799</v>
      </c>
      <c r="H44" s="31">
        <f t="shared" si="0"/>
        <v>1296.6101694915255</v>
      </c>
      <c r="I44" s="31">
        <f t="shared" si="1"/>
        <v>233.38983050847457</v>
      </c>
      <c r="J44" s="32">
        <v>1530</v>
      </c>
      <c r="K44" s="45" t="s">
        <v>76</v>
      </c>
    </row>
    <row r="45" spans="3:11" s="6" customFormat="1" ht="55" customHeight="1" x14ac:dyDescent="0.2">
      <c r="C45" s="39" t="s">
        <v>26</v>
      </c>
      <c r="D45" s="23" t="s">
        <v>56</v>
      </c>
      <c r="E45" s="23" t="s">
        <v>33</v>
      </c>
      <c r="F45" s="24">
        <v>5999</v>
      </c>
      <c r="G45" s="24">
        <v>1799</v>
      </c>
      <c r="H45" s="25">
        <f t="shared" si="0"/>
        <v>1186.4406779661017</v>
      </c>
      <c r="I45" s="25">
        <f t="shared" si="1"/>
        <v>213.5593220338983</v>
      </c>
      <c r="J45" s="26">
        <v>1400</v>
      </c>
      <c r="K45" s="44" t="s">
        <v>26</v>
      </c>
    </row>
    <row r="46" spans="3:11" s="6" customFormat="1" ht="55" customHeight="1" x14ac:dyDescent="0.2">
      <c r="C46" s="36" t="s">
        <v>27</v>
      </c>
      <c r="D46" s="11" t="s">
        <v>57</v>
      </c>
      <c r="E46" s="11" t="s">
        <v>33</v>
      </c>
      <c r="F46" s="12">
        <v>6999</v>
      </c>
      <c r="G46" s="12">
        <v>2499</v>
      </c>
      <c r="H46" s="13">
        <f t="shared" si="0"/>
        <v>1567.7966101694917</v>
      </c>
      <c r="I46" s="13">
        <f t="shared" si="1"/>
        <v>282.20338983050851</v>
      </c>
      <c r="J46" s="14">
        <v>1850</v>
      </c>
      <c r="K46" s="44" t="s">
        <v>27</v>
      </c>
    </row>
    <row r="47" spans="3:11" s="6" customFormat="1" ht="55" customHeight="1" x14ac:dyDescent="0.2">
      <c r="C47" s="36" t="s">
        <v>80</v>
      </c>
      <c r="D47" s="11" t="s">
        <v>81</v>
      </c>
      <c r="E47" s="11" t="s">
        <v>33</v>
      </c>
      <c r="F47" s="12">
        <v>7999</v>
      </c>
      <c r="G47" s="12">
        <v>2999</v>
      </c>
      <c r="H47" s="13">
        <f>J47/1.18</f>
        <v>2160.1694915254238</v>
      </c>
      <c r="I47" s="13">
        <f>H47*18%</f>
        <v>388.83050847457628</v>
      </c>
      <c r="J47" s="14">
        <v>2549</v>
      </c>
      <c r="K47" s="44" t="s">
        <v>80</v>
      </c>
    </row>
    <row r="48" spans="3:11" s="6" customFormat="1" ht="55" customHeight="1" x14ac:dyDescent="0.2">
      <c r="C48" s="36" t="s">
        <v>28</v>
      </c>
      <c r="D48" s="11" t="s">
        <v>58</v>
      </c>
      <c r="E48" s="11" t="s">
        <v>33</v>
      </c>
      <c r="F48" s="12">
        <v>4999</v>
      </c>
      <c r="G48" s="12">
        <v>1999</v>
      </c>
      <c r="H48" s="13">
        <f t="shared" si="0"/>
        <v>1271.1864406779662</v>
      </c>
      <c r="I48" s="13">
        <f t="shared" si="1"/>
        <v>228.81355932203391</v>
      </c>
      <c r="J48" s="14">
        <v>1500</v>
      </c>
      <c r="K48" s="44" t="s">
        <v>77</v>
      </c>
    </row>
    <row r="49" spans="3:11" s="6" customFormat="1" ht="55" customHeight="1" x14ac:dyDescent="0.2">
      <c r="C49" s="36" t="s">
        <v>29</v>
      </c>
      <c r="D49" s="11" t="s">
        <v>59</v>
      </c>
      <c r="E49" s="11" t="s">
        <v>33</v>
      </c>
      <c r="F49" s="12">
        <v>7999</v>
      </c>
      <c r="G49" s="12">
        <v>2299</v>
      </c>
      <c r="H49" s="13">
        <f t="shared" si="0"/>
        <v>1525.4237288135594</v>
      </c>
      <c r="I49" s="13">
        <f t="shared" si="1"/>
        <v>274.57627118644069</v>
      </c>
      <c r="J49" s="14">
        <v>1800</v>
      </c>
      <c r="K49" s="44" t="s">
        <v>78</v>
      </c>
    </row>
    <row r="50" spans="3:11" s="6" customFormat="1" ht="55" customHeight="1" x14ac:dyDescent="0.2">
      <c r="C50" s="36" t="s">
        <v>30</v>
      </c>
      <c r="D50" s="11" t="s">
        <v>60</v>
      </c>
      <c r="E50" s="11" t="s">
        <v>33</v>
      </c>
      <c r="F50" s="12">
        <v>9999</v>
      </c>
      <c r="G50" s="12">
        <v>2799</v>
      </c>
      <c r="H50" s="13">
        <f t="shared" si="0"/>
        <v>1779.6610169491526</v>
      </c>
      <c r="I50" s="13">
        <f t="shared" si="1"/>
        <v>320.33898305084745</v>
      </c>
      <c r="J50" s="14">
        <v>2100</v>
      </c>
      <c r="K50" s="44" t="s">
        <v>30</v>
      </c>
    </row>
    <row r="51" spans="3:11" s="6" customFormat="1" ht="55" customHeight="1" x14ac:dyDescent="0.2">
      <c r="C51" s="36" t="s">
        <v>31</v>
      </c>
      <c r="D51" s="11" t="s">
        <v>61</v>
      </c>
      <c r="E51" s="11" t="s">
        <v>33</v>
      </c>
      <c r="F51" s="12">
        <v>5499</v>
      </c>
      <c r="G51" s="12">
        <v>1599</v>
      </c>
      <c r="H51" s="13">
        <f t="shared" si="0"/>
        <v>1101.6949152542375</v>
      </c>
      <c r="I51" s="13">
        <f t="shared" si="1"/>
        <v>198.30508474576274</v>
      </c>
      <c r="J51" s="14">
        <v>1300</v>
      </c>
      <c r="K51" s="44" t="s">
        <v>31</v>
      </c>
    </row>
    <row r="52" spans="3:11" s="6" customFormat="1" ht="55" customHeight="1" thickBot="1" x14ac:dyDescent="0.25">
      <c r="C52" s="38" t="s">
        <v>117</v>
      </c>
      <c r="D52" s="19" t="s">
        <v>62</v>
      </c>
      <c r="E52" s="19" t="s">
        <v>33</v>
      </c>
      <c r="F52" s="20">
        <v>5999</v>
      </c>
      <c r="G52" s="20">
        <v>1999</v>
      </c>
      <c r="H52" s="21">
        <f t="shared" si="0"/>
        <v>1228.8135593220341</v>
      </c>
      <c r="I52" s="21">
        <f t="shared" si="1"/>
        <v>221.18644067796612</v>
      </c>
      <c r="J52" s="22">
        <v>1450</v>
      </c>
      <c r="K52" s="44" t="s">
        <v>32</v>
      </c>
    </row>
    <row r="53" spans="3:11" s="6" customFormat="1" ht="55" customHeight="1" x14ac:dyDescent="0.2">
      <c r="C53" s="40" t="s">
        <v>121</v>
      </c>
      <c r="D53" s="11" t="s">
        <v>104</v>
      </c>
      <c r="E53" s="11" t="s">
        <v>34</v>
      </c>
      <c r="F53" s="12">
        <v>2499</v>
      </c>
      <c r="G53" s="16">
        <v>999</v>
      </c>
      <c r="H53" s="17">
        <f t="shared" ref="H53:H59" si="2">J53/1.18</f>
        <v>550.84745762711873</v>
      </c>
      <c r="I53" s="17">
        <f t="shared" ref="I53:I59" si="3">H53*18%</f>
        <v>99.152542372881371</v>
      </c>
      <c r="J53" s="28">
        <v>650</v>
      </c>
      <c r="K53" s="44" t="s">
        <v>105</v>
      </c>
    </row>
    <row r="54" spans="3:11" s="6" customFormat="1" ht="55" customHeight="1" x14ac:dyDescent="0.2">
      <c r="C54" s="40" t="s">
        <v>122</v>
      </c>
      <c r="D54" s="11" t="s">
        <v>114</v>
      </c>
      <c r="E54" s="11" t="s">
        <v>34</v>
      </c>
      <c r="F54" s="12">
        <v>3299</v>
      </c>
      <c r="G54" s="16">
        <v>1699</v>
      </c>
      <c r="H54" s="17">
        <f t="shared" si="2"/>
        <v>805.08474576271192</v>
      </c>
      <c r="I54" s="17">
        <f t="shared" si="3"/>
        <v>144.91525423728814</v>
      </c>
      <c r="J54" s="28">
        <v>950</v>
      </c>
      <c r="K54" s="44" t="s">
        <v>106</v>
      </c>
    </row>
    <row r="55" spans="3:11" s="6" customFormat="1" ht="55" customHeight="1" x14ac:dyDescent="0.2">
      <c r="C55" s="40" t="s">
        <v>123</v>
      </c>
      <c r="D55" s="11" t="s">
        <v>113</v>
      </c>
      <c r="E55" s="11" t="s">
        <v>34</v>
      </c>
      <c r="F55" s="12">
        <v>3499</v>
      </c>
      <c r="G55" s="16">
        <v>1699</v>
      </c>
      <c r="H55" s="17">
        <f t="shared" si="2"/>
        <v>932.20338983050851</v>
      </c>
      <c r="I55" s="17">
        <f t="shared" si="3"/>
        <v>167.79661016949152</v>
      </c>
      <c r="J55" s="28">
        <v>1100</v>
      </c>
      <c r="K55" s="44" t="s">
        <v>107</v>
      </c>
    </row>
    <row r="56" spans="3:11" s="6" customFormat="1" ht="55" customHeight="1" x14ac:dyDescent="0.2">
      <c r="C56" s="40" t="s">
        <v>124</v>
      </c>
      <c r="D56" s="11" t="s">
        <v>109</v>
      </c>
      <c r="E56" s="11" t="s">
        <v>34</v>
      </c>
      <c r="F56" s="12">
        <v>3999</v>
      </c>
      <c r="G56" s="16">
        <v>1899</v>
      </c>
      <c r="H56" s="17">
        <f t="shared" si="2"/>
        <v>1101.6949152542375</v>
      </c>
      <c r="I56" s="17">
        <f t="shared" si="3"/>
        <v>198.30508474576274</v>
      </c>
      <c r="J56" s="28">
        <v>1300</v>
      </c>
      <c r="K56" s="44" t="s">
        <v>108</v>
      </c>
    </row>
    <row r="57" spans="3:11" s="6" customFormat="1" ht="55" customHeight="1" x14ac:dyDescent="0.2">
      <c r="C57" s="40" t="s">
        <v>125</v>
      </c>
      <c r="D57" s="11" t="s">
        <v>138</v>
      </c>
      <c r="E57" s="11" t="s">
        <v>34</v>
      </c>
      <c r="F57" s="12">
        <v>4999</v>
      </c>
      <c r="G57" s="12">
        <v>1999</v>
      </c>
      <c r="H57" s="17">
        <f t="shared" si="2"/>
        <v>1313.5593220338983</v>
      </c>
      <c r="I57" s="17">
        <f t="shared" si="3"/>
        <v>236.44067796610167</v>
      </c>
      <c r="J57" s="28">
        <v>1550</v>
      </c>
      <c r="K57" s="44" t="s">
        <v>139</v>
      </c>
    </row>
    <row r="58" spans="3:11" s="6" customFormat="1" ht="55" customHeight="1" x14ac:dyDescent="0.2">
      <c r="C58" s="40" t="s">
        <v>140</v>
      </c>
      <c r="D58" s="11" t="s">
        <v>142</v>
      </c>
      <c r="E58" s="11" t="s">
        <v>34</v>
      </c>
      <c r="F58" s="12">
        <v>7999</v>
      </c>
      <c r="G58" s="12">
        <v>2999</v>
      </c>
      <c r="H58" s="17">
        <f t="shared" si="2"/>
        <v>2033.898305084746</v>
      </c>
      <c r="I58" s="17">
        <f t="shared" si="3"/>
        <v>366.10169491525426</v>
      </c>
      <c r="J58" s="28">
        <v>2400</v>
      </c>
      <c r="K58" s="44" t="s">
        <v>143</v>
      </c>
    </row>
    <row r="59" spans="3:11" s="6" customFormat="1" ht="55" customHeight="1" x14ac:dyDescent="0.2">
      <c r="C59" s="40" t="s">
        <v>141</v>
      </c>
      <c r="D59" s="11" t="s">
        <v>144</v>
      </c>
      <c r="E59" s="11" t="s">
        <v>34</v>
      </c>
      <c r="F59" s="12">
        <v>9999</v>
      </c>
      <c r="G59" s="12">
        <v>4999</v>
      </c>
      <c r="H59" s="13">
        <f t="shared" si="2"/>
        <v>2881.3559322033898</v>
      </c>
      <c r="I59" s="13">
        <f t="shared" si="3"/>
        <v>518.6440677966101</v>
      </c>
      <c r="J59" s="28">
        <v>3400</v>
      </c>
      <c r="K59" s="44" t="s">
        <v>145</v>
      </c>
    </row>
    <row r="60" spans="3:11" s="6" customFormat="1" ht="55" customHeight="1" x14ac:dyDescent="0.2">
      <c r="C60" s="47" t="s">
        <v>64</v>
      </c>
      <c r="D60" s="48"/>
      <c r="E60" s="48"/>
      <c r="F60" s="48"/>
      <c r="G60" s="48"/>
      <c r="H60" s="48"/>
      <c r="I60" s="48"/>
      <c r="J60" s="48"/>
      <c r="K60" s="49"/>
    </row>
    <row r="61" spans="3:11" s="6" customFormat="1" ht="55" customHeight="1" x14ac:dyDescent="0.2">
      <c r="C61" s="50"/>
      <c r="D61" s="51"/>
      <c r="E61" s="51"/>
      <c r="F61" s="51"/>
      <c r="G61" s="51"/>
      <c r="H61" s="51"/>
      <c r="I61" s="51"/>
      <c r="J61" s="51"/>
      <c r="K61" s="52"/>
    </row>
    <row r="62" spans="3:11" s="6" customFormat="1" ht="55" customHeight="1" x14ac:dyDescent="0.2">
      <c r="C62" s="47" t="s">
        <v>66</v>
      </c>
      <c r="D62" s="48"/>
      <c r="E62" s="48"/>
      <c r="F62" s="48"/>
      <c r="G62" s="48"/>
      <c r="H62" s="48"/>
      <c r="I62" s="48"/>
      <c r="J62" s="48"/>
      <c r="K62" s="49"/>
    </row>
    <row r="63" spans="3:11" s="6" customFormat="1" ht="55" customHeight="1" x14ac:dyDescent="0.2">
      <c r="C63" s="50"/>
      <c r="D63" s="51"/>
      <c r="E63" s="51"/>
      <c r="F63" s="51"/>
      <c r="G63" s="51"/>
      <c r="H63" s="51"/>
      <c r="I63" s="51"/>
      <c r="J63" s="51"/>
      <c r="K63" s="52"/>
    </row>
    <row r="64" spans="3:11" s="6" customFormat="1" ht="55" customHeight="1" x14ac:dyDescent="0.2">
      <c r="C64" s="47" t="s">
        <v>65</v>
      </c>
      <c r="D64" s="48"/>
      <c r="E64" s="48"/>
      <c r="F64" s="48"/>
      <c r="G64" s="48"/>
      <c r="H64" s="48"/>
      <c r="I64" s="48"/>
      <c r="J64" s="48"/>
      <c r="K64" s="49"/>
    </row>
    <row r="65" spans="3:11" s="6" customFormat="1" ht="55" customHeight="1" x14ac:dyDescent="0.2">
      <c r="C65" s="50"/>
      <c r="D65" s="51"/>
      <c r="E65" s="51"/>
      <c r="F65" s="51"/>
      <c r="G65" s="51"/>
      <c r="H65" s="51"/>
      <c r="I65" s="51"/>
      <c r="J65" s="51"/>
      <c r="K65" s="52"/>
    </row>
  </sheetData>
  <autoFilter ref="C7:J65" xr:uid="{A08F5F56-B638-4D47-89B7-CC03A2D3E647}"/>
  <mergeCells count="4">
    <mergeCell ref="C60:K61"/>
    <mergeCell ref="C62:K63"/>
    <mergeCell ref="C64:K65"/>
    <mergeCell ref="C1:K6"/>
  </mergeCells>
  <hyperlinks>
    <hyperlink ref="K8" r:id="rId1" xr:uid="{51044CA3-7CE5-8342-AE1F-2A0F52D9CACA}"/>
    <hyperlink ref="K9" r:id="rId2" xr:uid="{B50C2DE1-135D-A447-BAED-707A63C8DD0C}"/>
    <hyperlink ref="K10" r:id="rId3" xr:uid="{FE340A6F-461A-6348-B377-EB36FA53C65A}"/>
    <hyperlink ref="K11" r:id="rId4" xr:uid="{FD12CAE9-5AA2-324C-A39E-B1EC3989922E}"/>
    <hyperlink ref="K12" r:id="rId5" xr:uid="{2BC46AB7-6495-EF4D-8796-6ABBD2939B02}"/>
    <hyperlink ref="K15" r:id="rId6" xr:uid="{31DAA64B-8486-2E49-ACB8-B7C91A3CD7AA}"/>
    <hyperlink ref="K20" r:id="rId7" xr:uid="{1BBF3FBB-4E2B-7E4C-A2C3-B253B9B49E7B}"/>
    <hyperlink ref="K22" r:id="rId8" xr:uid="{FBF85935-9187-1742-A95A-EBF5336AC343}"/>
    <hyperlink ref="K23" r:id="rId9" xr:uid="{F391F3F6-D6F8-7849-B5F0-9565E34C2703}"/>
    <hyperlink ref="K24" r:id="rId10" xr:uid="{2EBB72F4-99A0-234C-9F17-408710B09A69}"/>
    <hyperlink ref="K25" r:id="rId11" xr:uid="{9F849D61-D09A-C04B-9DF9-1DA3AD0D7528}"/>
    <hyperlink ref="K28" r:id="rId12" xr:uid="{A0CDBFE2-013A-EC41-98D8-15C092042444}"/>
    <hyperlink ref="K26" r:id="rId13" xr:uid="{0CEA6EB6-630E-D647-B957-9C96095BCBF6}"/>
    <hyperlink ref="K29" r:id="rId14" xr:uid="{B4A38DE3-792E-7847-8655-EB5ADF17BBAF}"/>
    <hyperlink ref="K30" r:id="rId15" xr:uid="{7BA315A0-D262-2B4D-B92E-24BA98E68622}"/>
    <hyperlink ref="K31" r:id="rId16" xr:uid="{E6683D10-F045-A748-B0A3-7A3E406B6333}"/>
    <hyperlink ref="K32" r:id="rId17" xr:uid="{AE15AD85-3180-BE4C-9AE1-E8C6D44BE899}"/>
    <hyperlink ref="K33" r:id="rId18" xr:uid="{4B7ADFF9-B86D-3B4F-97A7-50A1C8BEAB3D}"/>
    <hyperlink ref="K34" r:id="rId19" xr:uid="{7D6CC93F-CE94-444A-968A-8C4ED25B246E}"/>
    <hyperlink ref="K35" r:id="rId20" xr:uid="{1F7036AE-67D4-6D47-B295-CCF897B0E41E}"/>
    <hyperlink ref="K44" r:id="rId21" xr:uid="{45A562DA-726A-C341-8A44-0EBF92D0EDF6}"/>
    <hyperlink ref="K45" r:id="rId22" xr:uid="{0E02B8EA-6C1E-EB4E-9679-DDD0BC1AE16B}"/>
    <hyperlink ref="K46" r:id="rId23" xr:uid="{E79A86DD-57E2-134A-8E5B-2DD995B77A51}"/>
    <hyperlink ref="K48" r:id="rId24" xr:uid="{49B056A5-F014-3048-8CF4-761D60F29BCA}"/>
    <hyperlink ref="K49" r:id="rId25" xr:uid="{5425B9CA-DEEC-AC40-86E0-83117C5242F9}"/>
    <hyperlink ref="K50" r:id="rId26" xr:uid="{705F502A-3F61-7D49-A0E2-D163EB81B2B2}"/>
    <hyperlink ref="K51" r:id="rId27" xr:uid="{BF1EED32-4DED-2F47-93BF-0D8D290A9BDF}"/>
    <hyperlink ref="K52" r:id="rId28" xr:uid="{6D918BE0-D8F9-9C46-8273-8BE646C0D7A6}"/>
    <hyperlink ref="K21" r:id="rId29" xr:uid="{2002F8C8-19CE-2442-9AB1-D522D60466E6}"/>
    <hyperlink ref="K37" r:id="rId30" xr:uid="{565908FA-5A31-3D47-928A-F536BCEECB3B}"/>
    <hyperlink ref="K38" r:id="rId31" xr:uid="{5AE8BE6A-311F-B946-9E9E-C40F7EF9E13A}"/>
    <hyperlink ref="K39" r:id="rId32" xr:uid="{4298EF17-D2CF-8E44-925B-7F780352934B}"/>
    <hyperlink ref="K36" r:id="rId33" xr:uid="{D260F24C-DCCA-EB45-8EBC-72E7750F32B1}"/>
    <hyperlink ref="K14" r:id="rId34" xr:uid="{60B799A0-25BD-2141-8555-D6E4FA8697E1}"/>
    <hyperlink ref="K16" r:id="rId35" xr:uid="{29C83E7D-7442-064C-B136-F1209821C258}"/>
    <hyperlink ref="K13" r:id="rId36" xr:uid="{D70A16FD-6F38-D144-AACA-7D86C44593F7}"/>
    <hyperlink ref="K40" r:id="rId37" xr:uid="{36B7ECAD-7961-3940-B1CD-CC56FD9E0B56}"/>
    <hyperlink ref="K41" r:id="rId38" xr:uid="{1212AE56-742A-F545-B232-6C94C23AA087}"/>
    <hyperlink ref="K42" r:id="rId39" xr:uid="{7842A8DF-C479-6C46-82F4-779E88EB5F7C}"/>
    <hyperlink ref="K53" r:id="rId40" xr:uid="{CA302954-AC9A-BA4E-8402-975BDB68844C}"/>
    <hyperlink ref="K54" r:id="rId41" xr:uid="{81888BC4-AA93-BB4E-865B-E1BED608E224}"/>
    <hyperlink ref="K55" r:id="rId42" xr:uid="{B5BA25F4-75A3-114A-B69F-1DD0D4F47933}"/>
    <hyperlink ref="K56" r:id="rId43" xr:uid="{547B69DB-A501-CD4F-98AF-93A78459B690}"/>
    <hyperlink ref="K47" r:id="rId44" xr:uid="{79EE6862-7C72-3143-A848-45824AD13F96}"/>
    <hyperlink ref="K18" r:id="rId45" xr:uid="{2DE841A0-F2CD-BA43-861F-05EE0D94270E}"/>
    <hyperlink ref="K19" r:id="rId46" xr:uid="{43D63226-80FD-DF4F-A9AE-996F92D611F1}"/>
    <hyperlink ref="K27" r:id="rId47" xr:uid="{EF1AF806-811B-2948-A9A1-AF48F12020FA}"/>
    <hyperlink ref="K43" r:id="rId48" xr:uid="{E0D4D30B-7798-654D-8D36-F04B75D2FED5}"/>
    <hyperlink ref="K57" r:id="rId49" xr:uid="{90D316C5-0E09-9D49-BAD1-9565BD8EE993}"/>
    <hyperlink ref="K58" r:id="rId50" xr:uid="{74785F78-013B-774A-8411-A6CC41417F20}"/>
    <hyperlink ref="K59" r:id="rId51" xr:uid="{949DA09D-9D72-9D44-B4E1-FA5FF83E4FDE}"/>
    <hyperlink ref="K17" r:id="rId52" xr:uid="{8B8DEF5C-96B7-694E-B079-EE1C16ABFAEA}"/>
  </hyperlinks>
  <pageMargins left="0.7" right="0.7" top="0.75" bottom="0.75" header="0.3" footer="0.3"/>
  <pageSetup paperSize="9" orientation="portrait" horizontalDpi="300" verticalDpi="300" r:id="rId53"/>
  <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2A1D-C782-2E41-9D6E-28433FED4E96}">
  <dimension ref="A1"/>
  <sheetViews>
    <sheetView workbookViewId="0">
      <selection sqref="A1:XFD1048576"/>
    </sheetView>
  </sheetViews>
  <sheetFormatPr baseColWidth="10" defaultRowHeight="14" x14ac:dyDescent="0.15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GoBoult Price 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Singh</dc:creator>
  <cp:lastModifiedBy>Kallol Acharyya</cp:lastModifiedBy>
  <dcterms:created xsi:type="dcterms:W3CDTF">2025-09-01T05:48:32Z</dcterms:created>
  <dcterms:modified xsi:type="dcterms:W3CDTF">2026-08-18T10:28:26Z</dcterms:modified>
</cp:coreProperties>
</file>